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hivenparikh/Desktop/"/>
    </mc:Choice>
  </mc:AlternateContent>
  <xr:revisionPtr revIDLastSave="0" documentId="8_{9B64BA3B-73C7-6F43-850F-7FD29B932F21}" xr6:coauthVersionLast="47" xr6:coauthVersionMax="47" xr10:uidLastSave="{00000000-0000-0000-0000-000000000000}"/>
  <bookViews>
    <workbookView xWindow="12680" yWindow="760" windowWidth="16720" windowHeight="16840" firstSheet="3" activeTab="8" xr2:uid="{00000000-000D-0000-FFFF-FFFF00000000}"/>
  </bookViews>
  <sheets>
    <sheet name="City Comparison" sheetId="1" r:id="rId1"/>
    <sheet name="Market Demand" sheetId="2" r:id="rId2"/>
    <sheet name="Freight Access" sheetId="3" r:id="rId3"/>
    <sheet name="Logistics Infrastructure" sheetId="4" r:id="rId4"/>
    <sheet name="Labor Availability" sheetId="5" r:id="rId5"/>
    <sheet name="Growth Potential" sheetId="6" r:id="rId6"/>
    <sheet name="Cost Environment" sheetId="7" r:id="rId7"/>
    <sheet name="Final Scorecard" sheetId="8" r:id="rId8"/>
    <sheet name="Category Scores Long Format" sheetId="9" r:id="rId9"/>
    <sheet name="Category Weigh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I6" i="8" s="1"/>
  <c r="J6" i="8" s="1"/>
  <c r="H5" i="8"/>
  <c r="I5" i="8" s="1"/>
  <c r="J5" i="8" s="1"/>
  <c r="H4" i="8"/>
  <c r="I4" i="8" s="1"/>
  <c r="J4" i="8" s="1"/>
  <c r="H3" i="8"/>
  <c r="I3" i="8" s="1"/>
  <c r="J3" i="8" s="1"/>
  <c r="H2" i="8"/>
  <c r="I2" i="8" s="1"/>
  <c r="J2" i="8" s="1"/>
  <c r="F6" i="7"/>
  <c r="E6" i="7"/>
  <c r="E5" i="7"/>
  <c r="F5" i="7" s="1"/>
  <c r="E4" i="7"/>
  <c r="F4" i="7" s="1"/>
  <c r="E3" i="7"/>
  <c r="F3" i="7" s="1"/>
  <c r="E2" i="7"/>
  <c r="F2" i="7" s="1"/>
  <c r="E6" i="6"/>
  <c r="H6" i="6" s="1"/>
  <c r="H5" i="6"/>
  <c r="E5" i="6"/>
  <c r="F5" i="6" s="1"/>
  <c r="E4" i="6"/>
  <c r="H4" i="6" s="1"/>
  <c r="H3" i="6"/>
  <c r="E3" i="6"/>
  <c r="F3" i="6" s="1"/>
  <c r="E2" i="6"/>
  <c r="H2" i="6" s="1"/>
  <c r="J6" i="5"/>
  <c r="I6" i="5"/>
  <c r="H6" i="5"/>
  <c r="G6" i="5"/>
  <c r="K6" i="5" s="1"/>
  <c r="J5" i="5"/>
  <c r="I5" i="5"/>
  <c r="H5" i="5"/>
  <c r="K5" i="5" s="1"/>
  <c r="G5" i="5"/>
  <c r="J4" i="5"/>
  <c r="I4" i="5"/>
  <c r="H4" i="5"/>
  <c r="G4" i="5"/>
  <c r="K4" i="5" s="1"/>
  <c r="J3" i="5"/>
  <c r="I3" i="5"/>
  <c r="H3" i="5"/>
  <c r="K3" i="5" s="1"/>
  <c r="G3" i="5"/>
  <c r="J2" i="5"/>
  <c r="I2" i="5"/>
  <c r="H2" i="5"/>
  <c r="G2" i="5"/>
  <c r="K2" i="5" s="1"/>
  <c r="L6" i="4"/>
  <c r="K6" i="4"/>
  <c r="J6" i="4"/>
  <c r="I6" i="4"/>
  <c r="H6" i="4"/>
  <c r="M6" i="4" s="1"/>
  <c r="L5" i="4"/>
  <c r="M5" i="4" s="1"/>
  <c r="K5" i="4"/>
  <c r="J5" i="4"/>
  <c r="I5" i="4"/>
  <c r="H5" i="4"/>
  <c r="L4" i="4"/>
  <c r="K4" i="4"/>
  <c r="J4" i="4"/>
  <c r="I4" i="4"/>
  <c r="H4" i="4"/>
  <c r="M4" i="4" s="1"/>
  <c r="L3" i="4"/>
  <c r="K3" i="4"/>
  <c r="J3" i="4"/>
  <c r="I3" i="4"/>
  <c r="H3" i="4"/>
  <c r="M3" i="4" s="1"/>
  <c r="L2" i="4"/>
  <c r="K2" i="4"/>
  <c r="J2" i="4"/>
  <c r="I2" i="4"/>
  <c r="H2" i="4"/>
  <c r="M2" i="4" s="1"/>
  <c r="I6" i="3"/>
  <c r="K6" i="3" s="1"/>
  <c r="H6" i="3"/>
  <c r="E6" i="3"/>
  <c r="H5" i="3"/>
  <c r="I5" i="3" s="1"/>
  <c r="E5" i="3"/>
  <c r="J5" i="3" s="1"/>
  <c r="H4" i="3"/>
  <c r="I4" i="3" s="1"/>
  <c r="E4" i="3"/>
  <c r="J4" i="3" s="1"/>
  <c r="H3" i="3"/>
  <c r="I3" i="3" s="1"/>
  <c r="K3" i="3" s="1"/>
  <c r="E3" i="3"/>
  <c r="J3" i="3" s="1"/>
  <c r="L3" i="3" s="1"/>
  <c r="I2" i="3"/>
  <c r="K2" i="3" s="1"/>
  <c r="H2" i="3"/>
  <c r="E2" i="3"/>
  <c r="L6" i="2"/>
  <c r="K6" i="2"/>
  <c r="J6" i="2"/>
  <c r="M6" i="2" s="1"/>
  <c r="I6" i="2"/>
  <c r="H6" i="2"/>
  <c r="L5" i="2"/>
  <c r="M5" i="2" s="1"/>
  <c r="K5" i="2"/>
  <c r="J5" i="2"/>
  <c r="I5" i="2"/>
  <c r="H5" i="2"/>
  <c r="L4" i="2"/>
  <c r="K4" i="2"/>
  <c r="J4" i="2"/>
  <c r="I4" i="2"/>
  <c r="H4" i="2"/>
  <c r="M4" i="2" s="1"/>
  <c r="L3" i="2"/>
  <c r="K3" i="2"/>
  <c r="J3" i="2"/>
  <c r="I3" i="2"/>
  <c r="H3" i="2"/>
  <c r="M3" i="2" s="1"/>
  <c r="L2" i="2"/>
  <c r="K2" i="2"/>
  <c r="J2" i="2"/>
  <c r="I2" i="2"/>
  <c r="H2" i="2"/>
  <c r="M2" i="2" s="1"/>
  <c r="K4" i="3" l="1"/>
  <c r="K5" i="3"/>
  <c r="L5" i="3" s="1"/>
  <c r="L4" i="3"/>
  <c r="J2" i="3"/>
  <c r="L2" i="3" s="1"/>
  <c r="F2" i="6"/>
  <c r="F4" i="6"/>
  <c r="F6" i="6"/>
  <c r="G6" i="6" s="1"/>
  <c r="I6" i="6" s="1"/>
  <c r="J6" i="3"/>
  <c r="L6" i="3" s="1"/>
  <c r="G4" i="6" l="1"/>
  <c r="I4" i="6" s="1"/>
  <c r="G2" i="6"/>
  <c r="I2" i="6" s="1"/>
  <c r="G5" i="6"/>
  <c r="I5" i="6" s="1"/>
  <c r="G3" i="6"/>
  <c r="I3" i="6" s="1"/>
</calcChain>
</file>

<file path=xl/sharedStrings.xml><?xml version="1.0" encoding="utf-8"?>
<sst xmlns="http://schemas.openxmlformats.org/spreadsheetml/2006/main" count="221" uniqueCount="105">
  <si>
    <t>City</t>
  </si>
  <si>
    <t>State</t>
  </si>
  <si>
    <t>Region</t>
  </si>
  <si>
    <t>Primary Market Coverage</t>
  </si>
  <si>
    <t>Why Included</t>
  </si>
  <si>
    <t>Best Fit Role</t>
  </si>
  <si>
    <t>Dallas-Fort Worth</t>
  </si>
  <si>
    <t>Texas</t>
  </si>
  <si>
    <t>South / Central U.S.</t>
  </si>
  <si>
    <t>Texas, Southwest, Central U.S.</t>
  </si>
  <si>
    <t>Large market, central location, strong highway access</t>
  </si>
  <si>
    <t>All-around DC candidate</t>
  </si>
  <si>
    <t>Atlanta</t>
  </si>
  <si>
    <t>Georgia</t>
  </si>
  <si>
    <t>Southeast U.S.</t>
  </si>
  <si>
    <t>Southeast, East Coast, Gulf region</t>
  </si>
  <si>
    <t>Major logistics hub with strong regional reach</t>
  </si>
  <si>
    <t>Southeast DC candidate</t>
  </si>
  <si>
    <t>Chicago</t>
  </si>
  <si>
    <t>Illinois</t>
  </si>
  <si>
    <t>Midwest U.S.</t>
  </si>
  <si>
    <t>Midwest, Great Lakes, national freight lanes</t>
  </si>
  <si>
    <t>Major rail, trucking, and intermodal hub</t>
  </si>
  <si>
    <t>National freight hub candidate</t>
  </si>
  <si>
    <t>Phoenix</t>
  </si>
  <si>
    <t>Arizona</t>
  </si>
  <si>
    <t>Southwest U.S.</t>
  </si>
  <si>
    <t>Arizona, Nevada, Southern California, Southwest</t>
  </si>
  <si>
    <t>Fast-growing market near West Coast demand</t>
  </si>
  <si>
    <t>Growth-market DC candidate</t>
  </si>
  <si>
    <t>Columbus</t>
  </si>
  <si>
    <t>Ohio</t>
  </si>
  <si>
    <t>Ohio, Midwest, Eastern U.S.</t>
  </si>
  <si>
    <t>Central location near major consumer markets</t>
  </si>
  <si>
    <t>Cost-balanced Midwest candidate</t>
  </si>
  <si>
    <t>CBSA Code</t>
  </si>
  <si>
    <t>Metro Population</t>
  </si>
  <si>
    <t>Households</t>
  </si>
  <si>
    <t>Median Household Income</t>
  </si>
  <si>
    <t>Retail Businesses</t>
  </si>
  <si>
    <t>Electronics/Appliance Retailers</t>
  </si>
  <si>
    <t>Population Score</t>
  </si>
  <si>
    <t>Household Score</t>
  </si>
  <si>
    <t>Income Score</t>
  </si>
  <si>
    <t>Retail Score</t>
  </si>
  <si>
    <t>Electronics Score</t>
  </si>
  <si>
    <t>Demand Score</t>
  </si>
  <si>
    <t>FAF Region</t>
  </si>
  <si>
    <t>Outbound Freight Value, 2023, million $</t>
  </si>
  <si>
    <t>Inbound Freight Value, 2023, million $</t>
  </si>
  <si>
    <t>Total Freight Value</t>
  </si>
  <si>
    <t>Truck Outbound Freight Value, 2023, million $</t>
  </si>
  <si>
    <t>Truck Inbound Freight Value, 2023, million $</t>
  </si>
  <si>
    <t>Total Truck Freight Value 2023, million $</t>
  </si>
  <si>
    <t>Truck Share</t>
  </si>
  <si>
    <t>Value Score</t>
  </si>
  <si>
    <t>Truck Share Score</t>
  </si>
  <si>
    <t>Freight Score</t>
  </si>
  <si>
    <t>484-Dallas-Fort Worth TX-OK (TX Part)</t>
  </si>
  <si>
    <t>131-Atlanta GA</t>
  </si>
  <si>
    <t>171-Chicago IL-IN-WI (IL Part) + 181-Chicago IL-IN-WI (IN Part)</t>
  </si>
  <si>
    <t>041-Phoenix AZ</t>
  </si>
  <si>
    <t>393-Columbus OH</t>
  </si>
  <si>
    <t>Warehousing Businesses</t>
  </si>
  <si>
    <t>Trucking Businesses</t>
  </si>
  <si>
    <t>Wholesale Trade Businesses</t>
  </si>
  <si>
    <t xml:space="preserve">Transportation Support Businesses(3PL) </t>
  </si>
  <si>
    <t>Electronics Wholesalers</t>
  </si>
  <si>
    <t>Warehouse Score</t>
  </si>
  <si>
    <t>Trucking Score</t>
  </si>
  <si>
    <t>Wholesale Score</t>
  </si>
  <si>
    <t>Support Score</t>
  </si>
  <si>
    <t>Electronics Wholesale Score</t>
  </si>
  <si>
    <t>Logistics Infrastructure Score</t>
  </si>
  <si>
    <t>Total Employment</t>
  </si>
  <si>
    <t>Transportation &amp; Warehousing Employment</t>
  </si>
  <si>
    <t>Warehousing Employment</t>
  </si>
  <si>
    <t>Mean Commute Time</t>
  </si>
  <si>
    <t>Total Employment Score</t>
  </si>
  <si>
    <t>Transportation/Warehousing Score</t>
  </si>
  <si>
    <t>Warehouse Employment Score</t>
  </si>
  <si>
    <t>Commute Score</t>
  </si>
  <si>
    <t>Labor Availability Score</t>
  </si>
  <si>
    <t>2020 Population</t>
  </si>
  <si>
    <t>2024 Population</t>
  </si>
  <si>
    <t>Population Added</t>
  </si>
  <si>
    <t>Population Growth %</t>
  </si>
  <si>
    <t>Growth Rate Score</t>
  </si>
  <si>
    <t>Population Added Score</t>
  </si>
  <si>
    <t>Growth Potential Score</t>
  </si>
  <si>
    <t>Warehousing Annual Payroll, Thousand $</t>
  </si>
  <si>
    <t>Avg Warehouse Payroll per Employee</t>
  </si>
  <si>
    <t>Cost Score</t>
  </si>
  <si>
    <t>Market Demand</t>
  </si>
  <si>
    <t>Freight Access</t>
  </si>
  <si>
    <t>Logistics Infrastructure</t>
  </si>
  <si>
    <t>Labor Availability</t>
  </si>
  <si>
    <t>Growth Potential</t>
  </si>
  <si>
    <t>Cost Environment</t>
  </si>
  <si>
    <t>Weighted Score</t>
  </si>
  <si>
    <t>Final Score /100</t>
  </si>
  <si>
    <t>Rank</t>
  </si>
  <si>
    <t>Category</t>
  </si>
  <si>
    <t>Score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</si>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</sst>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rgb="FF474747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0" fillId="0" borderId="0" xfId="0" applyFill="1"/>
    <xf numFmtId="4" fontId="3" fillId="0" borderId="0" xfId="0" applyNumberFormat="1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workbookViewId="0"/>
  </sheetViews>
  <sheetFormatPr baseColWidth="10" defaultColWidth="12.6640625" defaultRowHeight="15.75" customHeight="1" x14ac:dyDescent="0.15"/>
  <cols>
    <col min="1" max="1" width="14.33203125" bestFit="1" customWidth="1"/>
    <col min="2" max="2" width="7.33203125" bestFit="1" customWidth="1"/>
    <col min="3" max="3" width="16.83203125" bestFit="1" customWidth="1"/>
    <col min="4" max="4" width="39.83203125" bestFit="1" customWidth="1"/>
    <col min="5" max="5" width="43.5" bestFit="1" customWidth="1"/>
    <col min="6" max="6" width="27.6640625" bestFit="1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5.75" customHeight="1" x14ac:dyDescent="0.1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5.75" customHeight="1" x14ac:dyDescent="0.15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5.75" customHeight="1" x14ac:dyDescent="0.1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5.75" customHeight="1" x14ac:dyDescent="0.15">
      <c r="A6" s="2" t="s">
        <v>30</v>
      </c>
      <c r="B6" s="3" t="s">
        <v>31</v>
      </c>
      <c r="C6" s="3" t="s">
        <v>20</v>
      </c>
      <c r="D6" s="3" t="s">
        <v>32</v>
      </c>
      <c r="E6" s="3" t="s">
        <v>33</v>
      </c>
      <c r="F6" s="3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G1" workbookViewId="0"/>
  </sheetViews>
  <sheetFormatPr baseColWidth="10" defaultColWidth="12.6640625" defaultRowHeight="15.75" customHeight="1" x14ac:dyDescent="0.15"/>
  <cols>
    <col min="1" max="1" width="27.1640625" customWidth="1"/>
    <col min="2" max="2" width="10.5" bestFit="1" customWidth="1"/>
    <col min="3" max="3" width="14.83203125" bestFit="1" customWidth="1"/>
    <col min="4" max="4" width="10.83203125" bestFit="1" customWidth="1"/>
    <col min="5" max="5" width="23" bestFit="1" customWidth="1"/>
    <col min="6" max="6" width="16" bestFit="1" customWidth="1"/>
    <col min="7" max="7" width="27.5" bestFit="1" customWidth="1"/>
    <col min="8" max="9" width="15.1640625" bestFit="1" customWidth="1"/>
    <col min="10" max="10" width="12.5" bestFit="1" customWidth="1"/>
    <col min="11" max="11" width="11.1640625" bestFit="1" customWidth="1"/>
    <col min="12" max="12" width="15.83203125" bestFit="1" customWidth="1"/>
    <col min="13" max="13" width="12.6640625" customWidth="1"/>
  </cols>
  <sheetData>
    <row r="1" spans="1:26" ht="15.75" customHeight="1" x14ac:dyDescent="0.1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6</v>
      </c>
      <c r="B2" s="2">
        <v>19100</v>
      </c>
      <c r="C2" s="4">
        <v>8344032</v>
      </c>
      <c r="D2" s="4">
        <v>3012855</v>
      </c>
      <c r="E2" s="5">
        <v>92733</v>
      </c>
      <c r="F2" s="4">
        <v>21680</v>
      </c>
      <c r="G2" s="2">
        <v>477</v>
      </c>
      <c r="H2" s="6">
        <f t="shared" ref="H2:H6" si="0">1+9*((C2-MIN($C$2:$C$6))/(MAX($C$2:$C$6)-MIN($C$2:$C$6)))</f>
        <v>8.6679711209854915</v>
      </c>
      <c r="I2" s="6">
        <f t="shared" ref="I2:I6" si="1">1+9*((D2-MIN($D$2:$D$6))/(MAX($D$2:$D$6)-MIN($D$2:$D$6)))</f>
        <v>7.8301376268067147</v>
      </c>
      <c r="J2" s="6">
        <f t="shared" ref="J2:J6" si="2">1+9*((E2-MIN($E$2:$E$6))/(MAX($E$2:$E$6)-MIN($E$2:$E$6)))</f>
        <v>10</v>
      </c>
      <c r="K2" s="6">
        <f t="shared" ref="K2:K6" si="3">1+9*((F2-MIN($F$2:$F$6))/(MAX($F$2:$F$6)-MIN($F$2:$F$6)))</f>
        <v>8.3437151263061793</v>
      </c>
      <c r="L2" s="6">
        <f t="shared" ref="L2:L6" si="4">1+9*((G2-MIN($G$2:$G$6))/(MAX($G$2:$G$6)-MIN($G$2:$G$6)))</f>
        <v>9.3181818181818183</v>
      </c>
      <c r="M2" s="7">
        <f t="shared" ref="M2:M6" si="5">ROUND((H2*0.3)+(I2*0.2)+(J2*0.1)+(K2*0.2)+(L2*0.2),2)</f>
        <v>8.6999999999999993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12</v>
      </c>
      <c r="B3" s="2">
        <v>12060</v>
      </c>
      <c r="C3" s="4">
        <v>6409047</v>
      </c>
      <c r="D3" s="4">
        <v>2390346</v>
      </c>
      <c r="E3" s="5">
        <v>92344</v>
      </c>
      <c r="F3" s="4">
        <v>18625</v>
      </c>
      <c r="G3" s="2">
        <v>338</v>
      </c>
      <c r="H3" s="6">
        <f t="shared" si="0"/>
        <v>6.2430249359922039</v>
      </c>
      <c r="I3" s="6">
        <f t="shared" si="1"/>
        <v>5.8365359193618005</v>
      </c>
      <c r="J3" s="6">
        <f t="shared" si="2"/>
        <v>9.6425727411944866</v>
      </c>
      <c r="K3" s="6">
        <f t="shared" si="3"/>
        <v>6.9490210003043522</v>
      </c>
      <c r="L3" s="6">
        <f t="shared" si="4"/>
        <v>6.1590909090909092</v>
      </c>
      <c r="M3" s="7">
        <f t="shared" si="5"/>
        <v>6.63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18</v>
      </c>
      <c r="B4" s="2">
        <v>16980</v>
      </c>
      <c r="C4" s="4">
        <v>9406924</v>
      </c>
      <c r="D4" s="4">
        <v>3690402</v>
      </c>
      <c r="E4" s="5">
        <v>90770</v>
      </c>
      <c r="F4" s="4">
        <v>25308</v>
      </c>
      <c r="G4" s="2">
        <v>507</v>
      </c>
      <c r="H4" s="6">
        <f t="shared" si="0"/>
        <v>10</v>
      </c>
      <c r="I4" s="6">
        <f t="shared" si="1"/>
        <v>10</v>
      </c>
      <c r="J4" s="6">
        <f t="shared" si="2"/>
        <v>8.1963246554364488</v>
      </c>
      <c r="K4" s="6">
        <f t="shared" si="3"/>
        <v>10</v>
      </c>
      <c r="L4" s="6">
        <f t="shared" si="4"/>
        <v>10</v>
      </c>
      <c r="M4" s="7">
        <f t="shared" si="5"/>
        <v>9.82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24</v>
      </c>
      <c r="B5" s="2">
        <v>38060</v>
      </c>
      <c r="C5" s="4">
        <v>5186958</v>
      </c>
      <c r="D5" s="4">
        <v>1967378</v>
      </c>
      <c r="E5" s="5">
        <v>90133</v>
      </c>
      <c r="F5" s="4">
        <v>11620</v>
      </c>
      <c r="G5" s="2">
        <v>237</v>
      </c>
      <c r="H5" s="6">
        <f t="shared" si="0"/>
        <v>4.7114884856981369</v>
      </c>
      <c r="I5" s="6">
        <f t="shared" si="1"/>
        <v>4.4819695966346433</v>
      </c>
      <c r="J5" s="6">
        <f t="shared" si="2"/>
        <v>7.611026033690659</v>
      </c>
      <c r="K5" s="6">
        <f t="shared" si="3"/>
        <v>3.7510398701430452</v>
      </c>
      <c r="L5" s="6">
        <f t="shared" si="4"/>
        <v>3.8636363636363638</v>
      </c>
      <c r="M5" s="7">
        <f t="shared" si="5"/>
        <v>4.59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30</v>
      </c>
      <c r="B6" s="2">
        <v>18140</v>
      </c>
      <c r="C6" s="4">
        <v>2225377</v>
      </c>
      <c r="D6" s="4">
        <v>880121</v>
      </c>
      <c r="E6" s="5">
        <v>82938</v>
      </c>
      <c r="F6" s="4">
        <v>5594</v>
      </c>
      <c r="G6" s="2">
        <v>111</v>
      </c>
      <c r="H6" s="6">
        <f t="shared" si="0"/>
        <v>1</v>
      </c>
      <c r="I6" s="6">
        <f t="shared" si="1"/>
        <v>1</v>
      </c>
      <c r="J6" s="6">
        <f t="shared" si="2"/>
        <v>1</v>
      </c>
      <c r="K6" s="6">
        <f t="shared" si="3"/>
        <v>1</v>
      </c>
      <c r="L6" s="6">
        <f t="shared" si="4"/>
        <v>1</v>
      </c>
      <c r="M6" s="7">
        <f t="shared" si="5"/>
        <v>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8"/>
      <c r="B7" s="8"/>
      <c r="C7" s="8"/>
      <c r="D7" s="8"/>
      <c r="E7" s="8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"/>
  <sheetViews>
    <sheetView workbookViewId="0">
      <selection activeCell="G16" sqref="G16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50.83203125" bestFit="1" customWidth="1"/>
    <col min="3" max="3" width="34" bestFit="1" customWidth="1"/>
    <col min="4" max="4" width="32.6640625" bestFit="1" customWidth="1"/>
    <col min="5" max="5" width="16.6640625" bestFit="1" customWidth="1"/>
    <col min="6" max="6" width="39.33203125" bestFit="1" customWidth="1"/>
    <col min="7" max="7" width="38" bestFit="1" customWidth="1"/>
    <col min="8" max="8" width="34.83203125" bestFit="1" customWidth="1"/>
    <col min="9" max="10" width="11.1640625" bestFit="1" customWidth="1"/>
    <col min="11" max="11" width="16.6640625" bestFit="1" customWidth="1"/>
    <col min="12" max="12" width="12.1640625" bestFit="1" customWidth="1"/>
  </cols>
  <sheetData>
    <row r="1" spans="1:13" ht="15.75" customHeight="1" x14ac:dyDescent="0.1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3" ht="15.75" customHeight="1" x14ac:dyDescent="0.15">
      <c r="A2" s="2" t="s">
        <v>6</v>
      </c>
      <c r="B2" s="2" t="s">
        <v>58</v>
      </c>
      <c r="C2" s="9">
        <v>589888.69999999995</v>
      </c>
      <c r="D2" s="9">
        <v>535522.9</v>
      </c>
      <c r="E2" s="9">
        <f t="shared" ref="E2:E6" si="0">C2+D2</f>
        <v>1125411.6000000001</v>
      </c>
      <c r="F2" s="9">
        <v>450197</v>
      </c>
      <c r="G2" s="9">
        <v>425987.9</v>
      </c>
      <c r="H2" s="9">
        <f t="shared" ref="H2:H6" si="1">F2+G2</f>
        <v>876184.9</v>
      </c>
      <c r="I2" s="10">
        <f t="shared" ref="I2:I6" si="2">H2/E2</f>
        <v>0.77854617812718474</v>
      </c>
      <c r="J2" s="2">
        <f t="shared" ref="J2:J6" si="3">ROUND(1+9*((E2-MIN($E$2:$E$6))/(MAX($E$2:$E$6)-MIN($E$2:$E$6))),2)</f>
        <v>7.13</v>
      </c>
      <c r="K2" s="2">
        <f t="shared" ref="K2:K6" si="4">ROUND(1+9*((I2-MIN($I$2:$I$6))/(MAX($I$2:$I$6)-MIN($I$2:$I$6))),2)</f>
        <v>2.25</v>
      </c>
      <c r="L2" s="1">
        <f t="shared" ref="L2:L6" si="5">ROUND((J2*0.7)+(K2*0.3),2)</f>
        <v>5.67</v>
      </c>
    </row>
    <row r="3" spans="1:13" ht="15.75" customHeight="1" x14ac:dyDescent="0.15">
      <c r="A3" s="2" t="s">
        <v>12</v>
      </c>
      <c r="B3" s="2" t="s">
        <v>59</v>
      </c>
      <c r="C3" s="9">
        <v>375514.8</v>
      </c>
      <c r="D3" s="9">
        <v>382154.4</v>
      </c>
      <c r="E3" s="9">
        <f t="shared" si="0"/>
        <v>757669.2</v>
      </c>
      <c r="F3" s="9">
        <v>282323.59999999998</v>
      </c>
      <c r="G3" s="9">
        <v>301718.8</v>
      </c>
      <c r="H3" s="9">
        <f t="shared" si="1"/>
        <v>584042.39999999991</v>
      </c>
      <c r="I3" s="10">
        <f t="shared" si="2"/>
        <v>0.77084088940133766</v>
      </c>
      <c r="J3" s="2">
        <f t="shared" si="3"/>
        <v>4.46</v>
      </c>
      <c r="K3" s="2">
        <f t="shared" si="4"/>
        <v>1.42</v>
      </c>
      <c r="L3" s="1">
        <f t="shared" si="5"/>
        <v>3.55</v>
      </c>
    </row>
    <row r="4" spans="1:13" ht="15.75" customHeight="1" x14ac:dyDescent="0.15">
      <c r="A4" s="2" t="s">
        <v>18</v>
      </c>
      <c r="B4" s="2" t="s">
        <v>60</v>
      </c>
      <c r="C4" s="9">
        <v>844229.1</v>
      </c>
      <c r="D4" s="9">
        <v>675663</v>
      </c>
      <c r="E4" s="9">
        <f t="shared" si="0"/>
        <v>1519892.1</v>
      </c>
      <c r="F4" s="9">
        <v>622021.69999999995</v>
      </c>
      <c r="G4" s="9">
        <v>543723</v>
      </c>
      <c r="H4" s="9">
        <f t="shared" si="1"/>
        <v>1165744.7</v>
      </c>
      <c r="I4" s="10">
        <f t="shared" si="2"/>
        <v>0.76699174895375788</v>
      </c>
      <c r="J4" s="2">
        <f t="shared" si="3"/>
        <v>10</v>
      </c>
      <c r="K4" s="2">
        <f t="shared" si="4"/>
        <v>1</v>
      </c>
      <c r="L4" s="1">
        <f t="shared" si="5"/>
        <v>7.3</v>
      </c>
    </row>
    <row r="5" spans="1:13" ht="15.75" customHeight="1" x14ac:dyDescent="0.15">
      <c r="A5" s="2" t="s">
        <v>24</v>
      </c>
      <c r="B5" s="2" t="s">
        <v>61</v>
      </c>
      <c r="C5" s="9">
        <v>106548.5</v>
      </c>
      <c r="D5" s="9">
        <v>175449</v>
      </c>
      <c r="E5" s="9">
        <f t="shared" si="0"/>
        <v>281997.5</v>
      </c>
      <c r="F5" s="9">
        <v>111397.5</v>
      </c>
      <c r="G5" s="9">
        <v>128421.9</v>
      </c>
      <c r="H5" s="9">
        <f t="shared" si="1"/>
        <v>239819.4</v>
      </c>
      <c r="I5" s="10">
        <f t="shared" si="2"/>
        <v>0.85043094353673343</v>
      </c>
      <c r="J5" s="2">
        <f t="shared" si="3"/>
        <v>1</v>
      </c>
      <c r="K5" s="2">
        <f t="shared" si="4"/>
        <v>10</v>
      </c>
      <c r="L5" s="1">
        <f t="shared" si="5"/>
        <v>3.7</v>
      </c>
    </row>
    <row r="6" spans="1:13" ht="15.75" customHeight="1" x14ac:dyDescent="0.15">
      <c r="A6" s="2" t="s">
        <v>30</v>
      </c>
      <c r="B6" s="2" t="s">
        <v>62</v>
      </c>
      <c r="C6" s="9">
        <v>176436.9</v>
      </c>
      <c r="D6" s="9">
        <v>205436.5</v>
      </c>
      <c r="E6" s="9">
        <f t="shared" si="0"/>
        <v>381873.4</v>
      </c>
      <c r="F6" s="9">
        <v>144962.29999999999</v>
      </c>
      <c r="G6" s="9">
        <v>171294.3</v>
      </c>
      <c r="H6" s="9">
        <f t="shared" si="1"/>
        <v>316256.59999999998</v>
      </c>
      <c r="I6" s="10">
        <f t="shared" si="2"/>
        <v>0.82817132588967957</v>
      </c>
      <c r="J6" s="2">
        <f t="shared" si="3"/>
        <v>1.73</v>
      </c>
      <c r="K6" s="2">
        <f t="shared" si="4"/>
        <v>7.6</v>
      </c>
      <c r="L6" s="1">
        <f t="shared" si="5"/>
        <v>3.49</v>
      </c>
    </row>
    <row r="7" spans="1:13" ht="15.75" customHeight="1" x14ac:dyDescent="0.15">
      <c r="F7" s="11"/>
      <c r="M7" s="12"/>
    </row>
    <row r="8" spans="1:13" ht="15.75" customHeight="1" x14ac:dyDescent="0.15">
      <c r="M8" s="13"/>
    </row>
    <row r="9" spans="1:13" ht="15.75" customHeight="1" x14ac:dyDescent="0.15">
      <c r="D9" s="14"/>
      <c r="M9" s="13"/>
    </row>
    <row r="10" spans="1:13" ht="15.75" customHeight="1" x14ac:dyDescent="0.15">
      <c r="M10" s="13"/>
    </row>
    <row r="11" spans="1:13" ht="15.75" customHeight="1" x14ac:dyDescent="0.15">
      <c r="M11" s="13"/>
    </row>
    <row r="12" spans="1:13" ht="15.75" customHeight="1" x14ac:dyDescent="0.15">
      <c r="F12" s="15"/>
      <c r="M12" s="13"/>
    </row>
    <row r="13" spans="1:13" ht="15.75" customHeight="1" x14ac:dyDescent="0.15">
      <c r="F13" s="16"/>
    </row>
    <row r="14" spans="1:13" ht="15.75" customHeight="1" x14ac:dyDescent="0.15">
      <c r="F14" s="15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opLeftCell="C1" workbookViewId="0">
      <selection activeCell="I1" sqref="I1:I1048576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10.5" bestFit="1" customWidth="1"/>
    <col min="3" max="3" width="22.33203125" bestFit="1" customWidth="1"/>
    <col min="4" max="4" width="18.6640625" bestFit="1" customWidth="1"/>
    <col min="5" max="5" width="25.33203125" bestFit="1" customWidth="1"/>
    <col min="6" max="6" width="35.33203125" bestFit="1" customWidth="1"/>
    <col min="7" max="7" width="21.5" bestFit="1" customWidth="1"/>
    <col min="8" max="8" width="15.6640625" bestFit="1" customWidth="1"/>
    <col min="9" max="9" width="13.6640625" bestFit="1" customWidth="1"/>
    <col min="10" max="10" width="15" bestFit="1" customWidth="1"/>
    <col min="11" max="11" width="12.83203125" bestFit="1" customWidth="1"/>
    <col min="12" max="12" width="25.1640625" bestFit="1" customWidth="1"/>
    <col min="13" max="13" width="25.83203125" bestFit="1" customWidth="1"/>
  </cols>
  <sheetData>
    <row r="1" spans="1:27" ht="15.75" customHeight="1" x14ac:dyDescent="0.15">
      <c r="A1" s="1" t="s">
        <v>0</v>
      </c>
      <c r="B1" s="1" t="s">
        <v>35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6</v>
      </c>
      <c r="B2" s="2">
        <v>19100</v>
      </c>
      <c r="C2" s="2">
        <v>703</v>
      </c>
      <c r="D2" s="4">
        <v>3420</v>
      </c>
      <c r="E2" s="4">
        <v>9324</v>
      </c>
      <c r="F2" s="4">
        <v>1246</v>
      </c>
      <c r="G2" s="2">
        <v>810</v>
      </c>
      <c r="H2" s="2">
        <f t="shared" ref="H2:H6" si="0">ROUND(1+9*((C2-MIN($C$2:$C$6))/(MAX($C$2:$C$6)-MIN($C$2:$C$6))),2)</f>
        <v>9.5299999999999994</v>
      </c>
      <c r="I2" s="2">
        <f t="shared" ref="I2:I6" si="1">ROUND(1+9*((D2-MIN($D$2:$D$6))/(MAX($D$2:$D$6)-MIN($D$2:$D$6))),2)</f>
        <v>2.83</v>
      </c>
      <c r="J2" s="2">
        <f t="shared" ref="J2:J6" si="2">ROUND(1+9*((E2-MIN($E$2:$E$6))/(MAX($E$2:$E$6)-MIN($E$2:$E$6))),2)</f>
        <v>7.44</v>
      </c>
      <c r="K2" s="2">
        <f t="shared" ref="K2:K6" si="3">ROUND(1+9*((F2-MIN($F$2:$F$6))/(MAX($F$2:$F$6)-MIN($F$2:$F$6))),2)</f>
        <v>5.55</v>
      </c>
      <c r="L2" s="2">
        <f t="shared" ref="L2:L6" si="4">ROUND(1+9*((G2-MIN($G$2:$G$6))/(MAX($G$2:$G$6)-MIN($G$2:$G$6))),2)</f>
        <v>9.33</v>
      </c>
      <c r="M2" s="1">
        <f t="shared" ref="M2:M6" si="5">ROUND((H2*0.3)+(I2*0.25)+(J2*0.2)+(K2*0.15)+(L2*0.1),2)</f>
        <v>6.82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12</v>
      </c>
      <c r="B3" s="2">
        <v>12060</v>
      </c>
      <c r="C3" s="2">
        <v>602</v>
      </c>
      <c r="D3" s="4">
        <v>3346</v>
      </c>
      <c r="E3" s="4">
        <v>8164</v>
      </c>
      <c r="F3" s="4">
        <v>1124</v>
      </c>
      <c r="G3" s="2">
        <v>600</v>
      </c>
      <c r="H3" s="2">
        <f t="shared" si="0"/>
        <v>7.54</v>
      </c>
      <c r="I3" s="2">
        <f t="shared" si="1"/>
        <v>2.77</v>
      </c>
      <c r="J3" s="2">
        <f t="shared" si="2"/>
        <v>6.43</v>
      </c>
      <c r="K3" s="2">
        <f t="shared" si="3"/>
        <v>4.99</v>
      </c>
      <c r="L3" s="2">
        <f t="shared" si="4"/>
        <v>6.76</v>
      </c>
      <c r="M3" s="1">
        <f t="shared" si="5"/>
        <v>5.67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18</v>
      </c>
      <c r="B4" s="2">
        <v>16980</v>
      </c>
      <c r="C4" s="2">
        <v>727</v>
      </c>
      <c r="D4" s="4">
        <v>12968</v>
      </c>
      <c r="E4" s="4">
        <v>12261</v>
      </c>
      <c r="F4" s="4">
        <v>2218</v>
      </c>
      <c r="G4" s="2">
        <v>865</v>
      </c>
      <c r="H4" s="2">
        <f t="shared" si="0"/>
        <v>10</v>
      </c>
      <c r="I4" s="2">
        <f t="shared" si="1"/>
        <v>10</v>
      </c>
      <c r="J4" s="2">
        <f t="shared" si="2"/>
        <v>10</v>
      </c>
      <c r="K4" s="2">
        <f t="shared" si="3"/>
        <v>10</v>
      </c>
      <c r="L4" s="2">
        <f t="shared" si="4"/>
        <v>10</v>
      </c>
      <c r="M4" s="1">
        <f t="shared" si="5"/>
        <v>10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24</v>
      </c>
      <c r="B5" s="2">
        <v>38060</v>
      </c>
      <c r="C5" s="2">
        <v>270</v>
      </c>
      <c r="D5" s="4">
        <v>1564</v>
      </c>
      <c r="E5" s="4">
        <v>4815</v>
      </c>
      <c r="F5" s="2">
        <v>579</v>
      </c>
      <c r="G5" s="2">
        <v>383</v>
      </c>
      <c r="H5" s="2">
        <f t="shared" si="0"/>
        <v>1</v>
      </c>
      <c r="I5" s="2">
        <f t="shared" si="1"/>
        <v>1.43</v>
      </c>
      <c r="J5" s="2">
        <f t="shared" si="2"/>
        <v>3.51</v>
      </c>
      <c r="K5" s="2">
        <f t="shared" si="3"/>
        <v>2.4900000000000002</v>
      </c>
      <c r="L5" s="2">
        <f t="shared" si="4"/>
        <v>4.1100000000000003</v>
      </c>
      <c r="M5" s="1">
        <f t="shared" si="5"/>
        <v>2.14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30</v>
      </c>
      <c r="B6" s="2">
        <v>18140</v>
      </c>
      <c r="C6" s="2">
        <v>319</v>
      </c>
      <c r="D6" s="2">
        <v>989</v>
      </c>
      <c r="E6" s="4">
        <v>1938</v>
      </c>
      <c r="F6" s="2">
        <v>253</v>
      </c>
      <c r="G6" s="2">
        <v>128</v>
      </c>
      <c r="H6" s="2">
        <f t="shared" si="0"/>
        <v>1.96</v>
      </c>
      <c r="I6" s="2">
        <f t="shared" si="1"/>
        <v>1</v>
      </c>
      <c r="J6" s="2">
        <f t="shared" si="2"/>
        <v>1</v>
      </c>
      <c r="K6" s="2">
        <f t="shared" si="3"/>
        <v>1</v>
      </c>
      <c r="L6" s="2">
        <f t="shared" si="4"/>
        <v>1</v>
      </c>
      <c r="M6" s="1">
        <f t="shared" si="5"/>
        <v>1.29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/>
      <c r="B17" s="2"/>
      <c r="C17" s="2"/>
      <c r="D17" s="2"/>
      <c r="E17" s="2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6"/>
  <sheetViews>
    <sheetView topLeftCell="H1" workbookViewId="0">
      <selection activeCell="N8" sqref="N8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10.5" bestFit="1" customWidth="1"/>
    <col min="3" max="3" width="15.83203125" bestFit="1" customWidth="1"/>
    <col min="4" max="4" width="37.33203125" bestFit="1" customWidth="1"/>
    <col min="5" max="5" width="22.83203125" bestFit="1" customWidth="1"/>
    <col min="6" max="6" width="18.33203125" bestFit="1" customWidth="1"/>
    <col min="7" max="7" width="21.5" bestFit="1" customWidth="1"/>
    <col min="8" max="8" width="30" bestFit="1" customWidth="1"/>
    <col min="9" max="9" width="26.83203125" bestFit="1" customWidth="1"/>
    <col min="10" max="10" width="14.1640625" bestFit="1" customWidth="1"/>
    <col min="11" max="11" width="21" bestFit="1" customWidth="1"/>
  </cols>
  <sheetData>
    <row r="1" spans="1:11" ht="15.75" customHeight="1" x14ac:dyDescent="0.15">
      <c r="A1" s="1" t="s">
        <v>0</v>
      </c>
      <c r="B1" s="1" t="s">
        <v>35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ht="15.75" customHeight="1" x14ac:dyDescent="0.15">
      <c r="A2" s="2" t="s">
        <v>6</v>
      </c>
      <c r="B2" s="2">
        <v>19100</v>
      </c>
      <c r="C2" s="4">
        <v>3594749</v>
      </c>
      <c r="D2" s="4">
        <v>264835</v>
      </c>
      <c r="E2" s="4">
        <v>71316</v>
      </c>
      <c r="F2" s="2">
        <v>28.8</v>
      </c>
      <c r="G2" s="2">
        <f t="shared" ref="G2:G6" si="0">ROUND(1+9*((C2-MIN($C$2:$C$6))/(MAX($C$2:$C$6)-MIN($C$2:$C$6))),2)</f>
        <v>8.1199999999999992</v>
      </c>
      <c r="H2" s="2">
        <f t="shared" ref="H2:H6" si="1">ROUND(1+9*((D2-MIN($D$2:$D$6))/(MAX($D$2:$D$6)-MIN($D$2:$D$6))),2)</f>
        <v>9.08</v>
      </c>
      <c r="I2" s="2">
        <f t="shared" ref="I2:I6" si="2">ROUND(1+9*((E2-MIN($E$2:$E$6))/(MAX($E$2:$E$6)-MIN($E$2:$E$6))),2)</f>
        <v>10</v>
      </c>
      <c r="J2" s="2">
        <f t="shared" ref="J2:J6" si="3">ROUND(1+9*((MAX($F$2:$F$6)-F2)/(MAX($F$2:$F$6)-MIN($F$2:$F$6))),2)</f>
        <v>4.9000000000000004</v>
      </c>
      <c r="K2" s="1">
        <f t="shared" ref="K2:K6" si="4">ROUND((G2*0.25)+(H2*0.35)+(I2*0.25)+(J2*0.15),2)</f>
        <v>8.44</v>
      </c>
    </row>
    <row r="3" spans="1:11" ht="15.75" customHeight="1" x14ac:dyDescent="0.15">
      <c r="A3" s="2" t="s">
        <v>12</v>
      </c>
      <c r="B3" s="2">
        <v>12060</v>
      </c>
      <c r="C3" s="4">
        <v>2692513</v>
      </c>
      <c r="D3" s="4">
        <v>221772</v>
      </c>
      <c r="E3" s="4">
        <v>67772</v>
      </c>
      <c r="F3" s="2">
        <v>32.4</v>
      </c>
      <c r="G3" s="2">
        <f t="shared" si="0"/>
        <v>5.66</v>
      </c>
      <c r="H3" s="2">
        <f t="shared" si="1"/>
        <v>7.04</v>
      </c>
      <c r="I3" s="2">
        <f t="shared" si="2"/>
        <v>9.32</v>
      </c>
      <c r="J3" s="2">
        <f t="shared" si="3"/>
        <v>1</v>
      </c>
      <c r="K3" s="1">
        <f t="shared" si="4"/>
        <v>6.36</v>
      </c>
    </row>
    <row r="4" spans="1:11" ht="15.75" customHeight="1" x14ac:dyDescent="0.15">
      <c r="A4" s="2" t="s">
        <v>18</v>
      </c>
      <c r="B4" s="2">
        <v>16980</v>
      </c>
      <c r="C4" s="4">
        <v>4285971</v>
      </c>
      <c r="D4" s="4">
        <v>284408</v>
      </c>
      <c r="E4" s="4">
        <v>65833</v>
      </c>
      <c r="F4" s="2">
        <v>30.9</v>
      </c>
      <c r="G4" s="2">
        <f t="shared" si="0"/>
        <v>10</v>
      </c>
      <c r="H4" s="2">
        <f t="shared" si="1"/>
        <v>10</v>
      </c>
      <c r="I4" s="2">
        <f t="shared" si="2"/>
        <v>8.9499999999999993</v>
      </c>
      <c r="J4" s="2">
        <f t="shared" si="3"/>
        <v>2.63</v>
      </c>
      <c r="K4" s="1">
        <f t="shared" si="4"/>
        <v>8.6300000000000008</v>
      </c>
    </row>
    <row r="5" spans="1:11" ht="15.75" customHeight="1" x14ac:dyDescent="0.15">
      <c r="A5" s="2" t="s">
        <v>24</v>
      </c>
      <c r="B5" s="2">
        <v>38060</v>
      </c>
      <c r="C5" s="4">
        <v>2080244</v>
      </c>
      <c r="D5" s="4">
        <v>108819</v>
      </c>
      <c r="E5" s="4">
        <v>24134</v>
      </c>
      <c r="F5" s="2">
        <v>27.6</v>
      </c>
      <c r="G5" s="2">
        <f t="shared" si="0"/>
        <v>3.99</v>
      </c>
      <c r="H5" s="2">
        <f t="shared" si="1"/>
        <v>1.71</v>
      </c>
      <c r="I5" s="2">
        <f t="shared" si="2"/>
        <v>1</v>
      </c>
      <c r="J5" s="2">
        <f t="shared" si="3"/>
        <v>6.2</v>
      </c>
      <c r="K5" s="1">
        <f t="shared" si="4"/>
        <v>2.78</v>
      </c>
    </row>
    <row r="6" spans="1:11" ht="15.75" customHeight="1" x14ac:dyDescent="0.15">
      <c r="A6" s="2" t="s">
        <v>30</v>
      </c>
      <c r="B6" s="2">
        <v>18140</v>
      </c>
      <c r="C6" s="4">
        <v>985064</v>
      </c>
      <c r="D6" s="4">
        <v>93843</v>
      </c>
      <c r="E6" s="4">
        <v>53258</v>
      </c>
      <c r="F6" s="2">
        <v>24.1</v>
      </c>
      <c r="G6" s="2">
        <f t="shared" si="0"/>
        <v>1</v>
      </c>
      <c r="H6" s="2">
        <f t="shared" si="1"/>
        <v>1</v>
      </c>
      <c r="I6" s="2">
        <f t="shared" si="2"/>
        <v>6.56</v>
      </c>
      <c r="J6" s="2">
        <f t="shared" si="3"/>
        <v>10</v>
      </c>
      <c r="K6" s="1">
        <f t="shared" si="4"/>
        <v>3.74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G1" sqref="G1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10.5" bestFit="1" customWidth="1"/>
    <col min="3" max="4" width="14.33203125" bestFit="1" customWidth="1"/>
    <col min="5" max="5" width="15.5" bestFit="1" customWidth="1"/>
    <col min="6" max="6" width="18.33203125" bestFit="1" customWidth="1"/>
    <col min="7" max="7" width="16.6640625" bestFit="1" customWidth="1"/>
    <col min="8" max="8" width="21" bestFit="1" customWidth="1"/>
    <col min="9" max="9" width="20.1640625" bestFit="1" customWidth="1"/>
  </cols>
  <sheetData>
    <row r="1" spans="1:26" ht="15.75" customHeight="1" x14ac:dyDescent="0.15">
      <c r="A1" s="1" t="s">
        <v>0</v>
      </c>
      <c r="B1" s="1" t="s">
        <v>35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6</v>
      </c>
      <c r="B2" s="2">
        <v>19100</v>
      </c>
      <c r="C2" s="4">
        <v>7637387</v>
      </c>
      <c r="D2" s="4">
        <v>8344032</v>
      </c>
      <c r="E2" s="4">
        <f t="shared" ref="E2:E6" si="0">D2-C2</f>
        <v>706645</v>
      </c>
      <c r="F2" s="10">
        <f t="shared" ref="F2:F6" si="1">E2/C2</f>
        <v>9.2524445860868387E-2</v>
      </c>
      <c r="G2" s="2">
        <f t="shared" ref="G2:G6" si="2">ROUND(1+9*((F2-MIN($F$2:$F$6))/(MAX($F$2:$F$6)-MIN($F$2:$F$6))),2)</f>
        <v>10</v>
      </c>
      <c r="H2" s="2">
        <f t="shared" ref="H2:H6" si="3">ROUND(1+9*((E2-MIN($E$2:$E$6))/(MAX($E$2:$E$6)-MIN($E$2:$E$6))),2)</f>
        <v>10</v>
      </c>
      <c r="I2" s="1">
        <f t="shared" ref="I2:I6" si="4">ROUND((G2*0.7)+(H2*0.3),2)</f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12</v>
      </c>
      <c r="B3" s="2">
        <v>12060</v>
      </c>
      <c r="C3" s="4">
        <v>6089815</v>
      </c>
      <c r="D3" s="4">
        <v>6409047</v>
      </c>
      <c r="E3" s="4">
        <f t="shared" si="0"/>
        <v>319232</v>
      </c>
      <c r="F3" s="10">
        <f t="shared" si="1"/>
        <v>5.2420640035863157E-2</v>
      </c>
      <c r="G3" s="2">
        <f t="shared" si="2"/>
        <v>6.8</v>
      </c>
      <c r="H3" s="2">
        <f t="shared" si="3"/>
        <v>6.13</v>
      </c>
      <c r="I3" s="1">
        <f t="shared" si="4"/>
        <v>6.6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18</v>
      </c>
      <c r="B4" s="2">
        <v>16980</v>
      </c>
      <c r="C4" s="4">
        <v>9600822</v>
      </c>
      <c r="D4" s="4">
        <v>9406924</v>
      </c>
      <c r="E4" s="4">
        <f t="shared" si="0"/>
        <v>-193898</v>
      </c>
      <c r="F4" s="10">
        <f t="shared" si="1"/>
        <v>-2.0195979052626951E-2</v>
      </c>
      <c r="G4" s="2">
        <f t="shared" si="2"/>
        <v>1</v>
      </c>
      <c r="H4" s="2">
        <f t="shared" si="3"/>
        <v>1</v>
      </c>
      <c r="I4" s="1">
        <f t="shared" si="4"/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24</v>
      </c>
      <c r="B5" s="2">
        <v>38060</v>
      </c>
      <c r="C5" s="4">
        <v>4845832</v>
      </c>
      <c r="D5" s="4">
        <v>5186958</v>
      </c>
      <c r="E5" s="4">
        <f t="shared" si="0"/>
        <v>341126</v>
      </c>
      <c r="F5" s="10">
        <f t="shared" si="1"/>
        <v>7.0395754537094971E-2</v>
      </c>
      <c r="G5" s="2">
        <f t="shared" si="2"/>
        <v>8.23</v>
      </c>
      <c r="H5" s="2">
        <f t="shared" si="3"/>
        <v>6.35</v>
      </c>
      <c r="I5" s="1">
        <f t="shared" si="4"/>
        <v>7.67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30</v>
      </c>
      <c r="B6" s="2">
        <v>18140</v>
      </c>
      <c r="C6" s="4">
        <v>2138926</v>
      </c>
      <c r="D6" s="4">
        <v>2225377</v>
      </c>
      <c r="E6" s="4">
        <f t="shared" si="0"/>
        <v>86451</v>
      </c>
      <c r="F6" s="10">
        <f t="shared" si="1"/>
        <v>4.0417948073004861E-2</v>
      </c>
      <c r="G6" s="2">
        <f t="shared" si="2"/>
        <v>5.84</v>
      </c>
      <c r="H6" s="2">
        <f t="shared" si="3"/>
        <v>3.8</v>
      </c>
      <c r="I6" s="1">
        <f t="shared" si="4"/>
        <v>5.23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B1" sqref="B1:B1048576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10.5" bestFit="1" customWidth="1"/>
    <col min="3" max="3" width="22.83203125" bestFit="1" customWidth="1"/>
    <col min="4" max="4" width="35.5" bestFit="1" customWidth="1"/>
    <col min="5" max="5" width="32.83203125" bestFit="1" customWidth="1"/>
    <col min="6" max="6" width="10.1640625" bestFit="1" customWidth="1"/>
  </cols>
  <sheetData>
    <row r="1" spans="1:26" ht="15.75" customHeight="1" x14ac:dyDescent="0.15">
      <c r="A1" s="1" t="s">
        <v>0</v>
      </c>
      <c r="B1" s="1" t="s">
        <v>35</v>
      </c>
      <c r="C1" s="1" t="s">
        <v>76</v>
      </c>
      <c r="D1" s="1" t="s">
        <v>90</v>
      </c>
      <c r="E1" s="1" t="s">
        <v>91</v>
      </c>
      <c r="F1" s="1" t="s">
        <v>92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6</v>
      </c>
      <c r="B2" s="2">
        <v>19100</v>
      </c>
      <c r="C2" s="4">
        <v>71316</v>
      </c>
      <c r="D2" s="9">
        <v>3520498</v>
      </c>
      <c r="E2" s="9">
        <f t="shared" ref="E2:E6" si="0">(D2*1000)/C2</f>
        <v>49364.770878905154</v>
      </c>
      <c r="F2" s="8">
        <f t="shared" ref="F2:F6" si="1">ROUND(1+9*((MAX($E$2:$E$6)-E2)/(MAX($E$2:$E$6)-MIN($E$2:$E$6))),2)</f>
        <v>6.85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12</v>
      </c>
      <c r="B3" s="2">
        <v>12060</v>
      </c>
      <c r="C3" s="4">
        <v>67772</v>
      </c>
      <c r="D3" s="9">
        <v>3138984</v>
      </c>
      <c r="E3" s="9">
        <f t="shared" si="0"/>
        <v>46316.827008203982</v>
      </c>
      <c r="F3" s="8">
        <f t="shared" si="1"/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18</v>
      </c>
      <c r="B4" s="2">
        <v>16980</v>
      </c>
      <c r="C4" s="4">
        <v>65833</v>
      </c>
      <c r="D4" s="9">
        <v>3621647</v>
      </c>
      <c r="E4" s="9">
        <f t="shared" si="0"/>
        <v>55012.638038673613</v>
      </c>
      <c r="F4" s="8">
        <f t="shared" si="1"/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24</v>
      </c>
      <c r="B5" s="2">
        <v>38060</v>
      </c>
      <c r="C5" s="4">
        <v>24134</v>
      </c>
      <c r="D5" s="9">
        <v>1199950</v>
      </c>
      <c r="E5" s="9">
        <f t="shared" si="0"/>
        <v>49720.31159360239</v>
      </c>
      <c r="F5" s="8">
        <f t="shared" si="1"/>
        <v>6.48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30</v>
      </c>
      <c r="B6" s="2">
        <v>18140</v>
      </c>
      <c r="C6" s="4">
        <v>53258</v>
      </c>
      <c r="D6" s="9">
        <v>2566515</v>
      </c>
      <c r="E6" s="9">
        <f t="shared" si="0"/>
        <v>48190.224942731606</v>
      </c>
      <c r="F6" s="8">
        <f t="shared" si="1"/>
        <v>8.06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E1" sqref="E1:E1048576"/>
    </sheetView>
  </sheetViews>
  <sheetFormatPr baseColWidth="10" defaultColWidth="12.6640625" defaultRowHeight="15.75" customHeight="1" x14ac:dyDescent="0.15"/>
  <cols>
    <col min="1" max="1" width="14.33203125" bestFit="1" customWidth="1"/>
    <col min="2" max="2" width="13.83203125" bestFit="1" customWidth="1"/>
    <col min="3" max="3" width="13.5" bestFit="1" customWidth="1"/>
    <col min="4" max="4" width="20.33203125" bestFit="1" customWidth="1"/>
    <col min="5" max="5" width="15.5" bestFit="1" customWidth="1"/>
    <col min="6" max="6" width="14.6640625" bestFit="1" customWidth="1"/>
    <col min="7" max="7" width="15.6640625" bestFit="1" customWidth="1"/>
    <col min="8" max="8" width="14" bestFit="1" customWidth="1"/>
    <col min="9" max="9" width="14.5" bestFit="1" customWidth="1"/>
    <col min="10" max="10" width="5.33203125" bestFit="1" customWidth="1"/>
  </cols>
  <sheetData>
    <row r="1" spans="1:26" ht="15.75" customHeight="1" x14ac:dyDescent="0.1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6</v>
      </c>
      <c r="B2" s="2">
        <v>8.6999999999999993</v>
      </c>
      <c r="C2" s="2">
        <v>5.67</v>
      </c>
      <c r="D2" s="2">
        <v>6.82</v>
      </c>
      <c r="E2" s="2">
        <v>8.44</v>
      </c>
      <c r="F2" s="2">
        <v>10</v>
      </c>
      <c r="G2" s="2">
        <v>6.85</v>
      </c>
      <c r="H2" s="2">
        <f t="shared" ref="H2:H6" si="0">ROUND((B2*0.25)+(C2*0.25)+(D2*0.2)+(E2*0.15)+(F2*0.1)+(G2*0.05),2)</f>
        <v>7.57</v>
      </c>
      <c r="I2" s="1">
        <f t="shared" ref="I2:I6" si="1">ROUND(H2*10,2)</f>
        <v>75.7</v>
      </c>
      <c r="J2" s="1">
        <f t="shared" ref="J2:J6" si="2">RANK(I2,$I$2:$I$6,0)</f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12</v>
      </c>
      <c r="B3" s="2">
        <v>6.63</v>
      </c>
      <c r="C3" s="2">
        <v>3.55</v>
      </c>
      <c r="D3" s="2">
        <v>5.67</v>
      </c>
      <c r="E3" s="2">
        <v>6.36</v>
      </c>
      <c r="F3" s="2">
        <v>6.6</v>
      </c>
      <c r="G3" s="2">
        <v>10</v>
      </c>
      <c r="H3" s="2">
        <f t="shared" si="0"/>
        <v>5.79</v>
      </c>
      <c r="I3" s="1">
        <f t="shared" si="1"/>
        <v>57.9</v>
      </c>
      <c r="J3" s="1">
        <f t="shared" si="2"/>
        <v>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18</v>
      </c>
      <c r="B4" s="2">
        <v>9.82</v>
      </c>
      <c r="C4" s="2">
        <v>7.3</v>
      </c>
      <c r="D4" s="2">
        <v>10</v>
      </c>
      <c r="E4" s="2">
        <v>8.6300000000000008</v>
      </c>
      <c r="F4" s="2">
        <v>1</v>
      </c>
      <c r="G4" s="2">
        <v>1</v>
      </c>
      <c r="H4" s="2">
        <f t="shared" si="0"/>
        <v>7.72</v>
      </c>
      <c r="I4" s="1">
        <f t="shared" si="1"/>
        <v>77.2</v>
      </c>
      <c r="J4" s="1">
        <f t="shared" si="2"/>
        <v>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24</v>
      </c>
      <c r="B5" s="2">
        <v>4.59</v>
      </c>
      <c r="C5" s="2">
        <v>3.7</v>
      </c>
      <c r="D5" s="2">
        <v>2.14</v>
      </c>
      <c r="E5" s="2">
        <v>2.78</v>
      </c>
      <c r="F5" s="2">
        <v>7.67</v>
      </c>
      <c r="G5" s="2">
        <v>6.48</v>
      </c>
      <c r="H5" s="2">
        <f t="shared" si="0"/>
        <v>4.01</v>
      </c>
      <c r="I5" s="1">
        <f t="shared" si="1"/>
        <v>40.1</v>
      </c>
      <c r="J5" s="1">
        <f t="shared" si="2"/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30</v>
      </c>
      <c r="B6" s="2">
        <v>1</v>
      </c>
      <c r="C6" s="2">
        <v>3.49</v>
      </c>
      <c r="D6" s="2">
        <v>1.29</v>
      </c>
      <c r="E6" s="2">
        <v>3.74</v>
      </c>
      <c r="F6" s="2">
        <v>5.23</v>
      </c>
      <c r="G6" s="2">
        <v>8.06</v>
      </c>
      <c r="H6" s="2">
        <f t="shared" si="0"/>
        <v>2.87</v>
      </c>
      <c r="I6" s="1">
        <f t="shared" si="1"/>
        <v>28.7</v>
      </c>
      <c r="J6" s="1">
        <f t="shared" si="2"/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31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cols>
    <col min="1" max="1" width="14.33203125" style="18" bestFit="1" customWidth="1"/>
    <col min="2" max="2" width="18.6640625" style="18" bestFit="1" customWidth="1"/>
    <col min="3" max="3" width="6" style="18" bestFit="1" customWidth="1"/>
    <col min="4" max="16384" width="12.6640625" style="18"/>
  </cols>
  <sheetData>
    <row r="1" spans="1:3" ht="15.75" customHeight="1" x14ac:dyDescent="0.15">
      <c r="A1" s="17" t="s">
        <v>0</v>
      </c>
      <c r="B1" s="17" t="s">
        <v>102</v>
      </c>
      <c r="C1" s="17" t="s">
        <v>103</v>
      </c>
    </row>
    <row r="2" spans="1:3" ht="15.75" customHeight="1" x14ac:dyDescent="0.15">
      <c r="A2" s="2" t="s">
        <v>6</v>
      </c>
      <c r="B2" s="2" t="s">
        <v>93</v>
      </c>
      <c r="C2" s="2">
        <v>8.6999999999999993</v>
      </c>
    </row>
    <row r="3" spans="1:3" ht="15.75" customHeight="1" x14ac:dyDescent="0.15">
      <c r="A3" s="2" t="s">
        <v>6</v>
      </c>
      <c r="B3" s="2" t="s">
        <v>94</v>
      </c>
      <c r="C3" s="2">
        <v>5.67</v>
      </c>
    </row>
    <row r="4" spans="1:3" ht="15.75" customHeight="1" x14ac:dyDescent="0.15">
      <c r="A4" s="2" t="s">
        <v>6</v>
      </c>
      <c r="B4" s="2" t="s">
        <v>95</v>
      </c>
      <c r="C4" s="2">
        <v>6.82</v>
      </c>
    </row>
    <row r="5" spans="1:3" ht="15.75" customHeight="1" x14ac:dyDescent="0.15">
      <c r="A5" s="2" t="s">
        <v>6</v>
      </c>
      <c r="B5" s="2" t="s">
        <v>96</v>
      </c>
      <c r="C5" s="2">
        <v>8.44</v>
      </c>
    </row>
    <row r="6" spans="1:3" ht="15.75" customHeight="1" x14ac:dyDescent="0.15">
      <c r="A6" s="2" t="s">
        <v>6</v>
      </c>
      <c r="B6" s="2" t="s">
        <v>97</v>
      </c>
      <c r="C6" s="2">
        <v>10</v>
      </c>
    </row>
    <row r="7" spans="1:3" ht="15.75" customHeight="1" x14ac:dyDescent="0.15">
      <c r="A7" s="2" t="s">
        <v>6</v>
      </c>
      <c r="B7" s="2" t="s">
        <v>98</v>
      </c>
      <c r="C7" s="2">
        <v>6.85</v>
      </c>
    </row>
    <row r="8" spans="1:3" ht="15.75" customHeight="1" x14ac:dyDescent="0.15">
      <c r="A8" s="2" t="s">
        <v>12</v>
      </c>
      <c r="B8" s="2" t="s">
        <v>93</v>
      </c>
      <c r="C8" s="2">
        <v>6.63</v>
      </c>
    </row>
    <row r="9" spans="1:3" ht="15.75" customHeight="1" x14ac:dyDescent="0.15">
      <c r="A9" s="2" t="s">
        <v>12</v>
      </c>
      <c r="B9" s="2" t="s">
        <v>94</v>
      </c>
      <c r="C9" s="2">
        <v>3.55</v>
      </c>
    </row>
    <row r="10" spans="1:3" ht="15.75" customHeight="1" x14ac:dyDescent="0.15">
      <c r="A10" s="2" t="s">
        <v>12</v>
      </c>
      <c r="B10" s="2" t="s">
        <v>95</v>
      </c>
      <c r="C10" s="2">
        <v>5.67</v>
      </c>
    </row>
    <row r="11" spans="1:3" ht="15.75" customHeight="1" x14ac:dyDescent="0.15">
      <c r="A11" s="2" t="s">
        <v>12</v>
      </c>
      <c r="B11" s="2" t="s">
        <v>96</v>
      </c>
      <c r="C11" s="2">
        <v>6.36</v>
      </c>
    </row>
    <row r="12" spans="1:3" ht="15.75" customHeight="1" x14ac:dyDescent="0.15">
      <c r="A12" s="2" t="s">
        <v>12</v>
      </c>
      <c r="B12" s="2" t="s">
        <v>97</v>
      </c>
      <c r="C12" s="2">
        <v>6.6</v>
      </c>
    </row>
    <row r="13" spans="1:3" ht="15.75" customHeight="1" x14ac:dyDescent="0.15">
      <c r="A13" s="2" t="s">
        <v>12</v>
      </c>
      <c r="B13" s="2" t="s">
        <v>98</v>
      </c>
      <c r="C13" s="2">
        <v>10</v>
      </c>
    </row>
    <row r="14" spans="1:3" ht="15.75" customHeight="1" x14ac:dyDescent="0.15">
      <c r="A14" s="2" t="s">
        <v>18</v>
      </c>
      <c r="B14" s="2" t="s">
        <v>93</v>
      </c>
      <c r="C14" s="2">
        <v>9.82</v>
      </c>
    </row>
    <row r="15" spans="1:3" ht="15.75" customHeight="1" x14ac:dyDescent="0.15">
      <c r="A15" s="2" t="s">
        <v>18</v>
      </c>
      <c r="B15" s="2" t="s">
        <v>94</v>
      </c>
      <c r="C15" s="2">
        <v>7.3</v>
      </c>
    </row>
    <row r="16" spans="1:3" ht="15.75" customHeight="1" x14ac:dyDescent="0.15">
      <c r="A16" s="2" t="s">
        <v>18</v>
      </c>
      <c r="B16" s="2" t="s">
        <v>95</v>
      </c>
      <c r="C16" s="2">
        <v>10</v>
      </c>
    </row>
    <row r="17" spans="1:3" ht="15.75" customHeight="1" x14ac:dyDescent="0.15">
      <c r="A17" s="2" t="s">
        <v>18</v>
      </c>
      <c r="B17" s="2" t="s">
        <v>96</v>
      </c>
      <c r="C17" s="2">
        <v>8.6300000000000008</v>
      </c>
    </row>
    <row r="18" spans="1:3" ht="15.75" customHeight="1" x14ac:dyDescent="0.15">
      <c r="A18" s="2" t="s">
        <v>18</v>
      </c>
      <c r="B18" s="2" t="s">
        <v>97</v>
      </c>
      <c r="C18" s="2">
        <v>1</v>
      </c>
    </row>
    <row r="19" spans="1:3" ht="15.75" customHeight="1" x14ac:dyDescent="0.15">
      <c r="A19" s="2" t="s">
        <v>18</v>
      </c>
      <c r="B19" s="2" t="s">
        <v>98</v>
      </c>
      <c r="C19" s="2">
        <v>1</v>
      </c>
    </row>
    <row r="20" spans="1:3" ht="15.75" customHeight="1" x14ac:dyDescent="0.15">
      <c r="A20" s="2" t="s">
        <v>24</v>
      </c>
      <c r="B20" s="2" t="s">
        <v>93</v>
      </c>
      <c r="C20" s="2">
        <v>4.59</v>
      </c>
    </row>
    <row r="21" spans="1:3" ht="15.75" customHeight="1" x14ac:dyDescent="0.15">
      <c r="A21" s="2" t="s">
        <v>24</v>
      </c>
      <c r="B21" s="2" t="s">
        <v>94</v>
      </c>
      <c r="C21" s="2">
        <v>3.7</v>
      </c>
    </row>
    <row r="22" spans="1:3" ht="15.75" customHeight="1" x14ac:dyDescent="0.15">
      <c r="A22" s="2" t="s">
        <v>24</v>
      </c>
      <c r="B22" s="2" t="s">
        <v>95</v>
      </c>
      <c r="C22" s="2">
        <v>2.14</v>
      </c>
    </row>
    <row r="23" spans="1:3" ht="15.75" customHeight="1" x14ac:dyDescent="0.15">
      <c r="A23" s="2" t="s">
        <v>24</v>
      </c>
      <c r="B23" s="2" t="s">
        <v>96</v>
      </c>
      <c r="C23" s="2">
        <v>2.78</v>
      </c>
    </row>
    <row r="24" spans="1:3" ht="15.75" customHeight="1" x14ac:dyDescent="0.15">
      <c r="A24" s="2" t="s">
        <v>24</v>
      </c>
      <c r="B24" s="2" t="s">
        <v>97</v>
      </c>
      <c r="C24" s="2">
        <v>7.67</v>
      </c>
    </row>
    <row r="25" spans="1:3" ht="15.75" customHeight="1" x14ac:dyDescent="0.15">
      <c r="A25" s="2" t="s">
        <v>24</v>
      </c>
      <c r="B25" s="2" t="s">
        <v>98</v>
      </c>
      <c r="C25" s="2">
        <v>6.48</v>
      </c>
    </row>
    <row r="26" spans="1:3" ht="15.75" customHeight="1" x14ac:dyDescent="0.15">
      <c r="A26" s="2" t="s">
        <v>30</v>
      </c>
      <c r="B26" s="2" t="s">
        <v>93</v>
      </c>
      <c r="C26" s="2">
        <v>1</v>
      </c>
    </row>
    <row r="27" spans="1:3" ht="15.75" customHeight="1" x14ac:dyDescent="0.15">
      <c r="A27" s="2" t="s">
        <v>30</v>
      </c>
      <c r="B27" s="2" t="s">
        <v>94</v>
      </c>
      <c r="C27" s="2">
        <v>3.49</v>
      </c>
    </row>
    <row r="28" spans="1:3" ht="15.75" customHeight="1" x14ac:dyDescent="0.15">
      <c r="A28" s="2" t="s">
        <v>30</v>
      </c>
      <c r="B28" s="2" t="s">
        <v>95</v>
      </c>
      <c r="C28" s="2">
        <v>1.29</v>
      </c>
    </row>
    <row r="29" spans="1:3" ht="15.75" customHeight="1" x14ac:dyDescent="0.15">
      <c r="A29" s="2" t="s">
        <v>30</v>
      </c>
      <c r="B29" s="2" t="s">
        <v>96</v>
      </c>
      <c r="C29" s="2">
        <v>3.74</v>
      </c>
    </row>
    <row r="30" spans="1:3" ht="15.75" customHeight="1" x14ac:dyDescent="0.15">
      <c r="A30" s="2" t="s">
        <v>30</v>
      </c>
      <c r="B30" s="2" t="s">
        <v>97</v>
      </c>
      <c r="C30" s="2">
        <v>5.23</v>
      </c>
    </row>
    <row r="31" spans="1:3" ht="15.75" customHeight="1" x14ac:dyDescent="0.15">
      <c r="A31" s="2" t="s">
        <v>30</v>
      </c>
      <c r="B31" s="2" t="s">
        <v>98</v>
      </c>
      <c r="C31" s="2">
        <v>8.06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7"/>
  <sheetViews>
    <sheetView workbookViewId="0">
      <selection activeCell="H21" sqref="H21"/>
    </sheetView>
  </sheetViews>
  <sheetFormatPr baseColWidth="10" defaultColWidth="12.6640625" defaultRowHeight="15.75" customHeight="1" x14ac:dyDescent="0.15"/>
  <cols>
    <col min="1" max="1" width="18.6640625" style="18" bestFit="1" customWidth="1"/>
    <col min="2" max="2" width="6.6640625" style="18" bestFit="1" customWidth="1"/>
    <col min="3" max="16384" width="12.6640625" style="18"/>
  </cols>
  <sheetData>
    <row r="1" spans="1:2" ht="15.75" customHeight="1" x14ac:dyDescent="0.15">
      <c r="A1" s="17" t="s">
        <v>102</v>
      </c>
      <c r="B1" s="17" t="s">
        <v>104</v>
      </c>
    </row>
    <row r="2" spans="1:2" ht="15.75" customHeight="1" x14ac:dyDescent="0.15">
      <c r="A2" s="2" t="s">
        <v>93</v>
      </c>
      <c r="B2" s="2">
        <v>25</v>
      </c>
    </row>
    <row r="3" spans="1:2" ht="15.75" customHeight="1" x14ac:dyDescent="0.15">
      <c r="A3" s="2" t="s">
        <v>94</v>
      </c>
      <c r="B3" s="2">
        <v>25</v>
      </c>
    </row>
    <row r="4" spans="1:2" ht="15.75" customHeight="1" x14ac:dyDescent="0.15">
      <c r="A4" s="2" t="s">
        <v>95</v>
      </c>
      <c r="B4" s="2">
        <v>20</v>
      </c>
    </row>
    <row r="5" spans="1:2" ht="15.75" customHeight="1" x14ac:dyDescent="0.15">
      <c r="A5" s="2" t="s">
        <v>96</v>
      </c>
      <c r="B5" s="2">
        <v>15</v>
      </c>
    </row>
    <row r="6" spans="1:2" ht="15.75" customHeight="1" x14ac:dyDescent="0.15">
      <c r="A6" s="2" t="s">
        <v>97</v>
      </c>
      <c r="B6" s="2">
        <v>10</v>
      </c>
    </row>
    <row r="7" spans="1:2" ht="15.75" customHeight="1" x14ac:dyDescent="0.15">
      <c r="A7" s="2" t="s">
        <v>98</v>
      </c>
      <c r="B7" s="2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City Comparison</vt:lpstr>
      <vt:lpstr>Market Demand</vt:lpstr>
      <vt:lpstr>Freight Access</vt:lpstr>
      <vt:lpstr>Logistics Infrastructure</vt:lpstr>
      <vt:lpstr>Labor Availability</vt:lpstr>
      <vt:lpstr>Growth Potential</vt:lpstr>
      <vt:lpstr>Cost Environment</vt:lpstr>
      <vt:lpstr>Final Scorecard</vt:lpstr>
      <vt:lpstr>Category Scores Long Format</vt:lpstr>
      <vt:lpstr>Category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Shiven Parikh</cp:lastModifiedBy>
  <cp:lastPrinted>2026-06-05T12:13:54Z</cp:lastPrinted>
  <dcterms:created xsi:type="dcterms:W3CDTF">2026-06-05T12:19:45Z</dcterms:created>
  <dcterms:modified xsi:type="dcterms:W3CDTF">2026-06-05T12:25:27Z</dcterms:modified>
</cp:coreProperties>
</file>