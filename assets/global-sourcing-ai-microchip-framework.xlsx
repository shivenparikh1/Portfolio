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enparikh/Desktop/"/>
    </mc:Choice>
  </mc:AlternateContent>
  <xr:revisionPtr revIDLastSave="0" documentId="13_ncr:1_{BD2033BA-C111-2E4A-873B-899C5DF6BCD4}" xr6:coauthVersionLast="47" xr6:coauthVersionMax="47" xr10:uidLastSave="{00000000-0000-0000-0000-000000000000}"/>
  <bookViews>
    <workbookView xWindow="0" yWindow="740" windowWidth="29400" windowHeight="18380" activeTab="4" xr2:uid="{9FACD669-EFB5-B74C-B078-C631BE52E6FB}"/>
  </bookViews>
  <sheets>
    <sheet name="Sheet1" sheetId="1" r:id="rId1"/>
    <sheet name="Supplier Database" sheetId="2" r:id="rId2"/>
    <sheet name="Scoring Guide" sheetId="4" r:id="rId3"/>
    <sheet name="Scorecard" sheetId="3" r:id="rId4"/>
    <sheet name="Scenario Analysis" sheetId="5" r:id="rId5"/>
    <sheet name="Risk Matrix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3" l="1"/>
  <c r="M4" i="3"/>
  <c r="M2" i="3"/>
  <c r="L3" i="3"/>
  <c r="L4" i="3"/>
  <c r="L2" i="3"/>
</calcChain>
</file>

<file path=xl/sharedStrings.xml><?xml version="1.0" encoding="utf-8"?>
<sst xmlns="http://schemas.openxmlformats.org/spreadsheetml/2006/main" count="271" uniqueCount="168">
  <si>
    <t>Case Company</t>
  </si>
  <si>
    <t>Nvidia-Style U.S. AI Chip Company</t>
  </si>
  <si>
    <t>Buyer Location</t>
  </si>
  <si>
    <t>United States</t>
  </si>
  <si>
    <t>Product Being Sourced</t>
  </si>
  <si>
    <t xml:space="preserve">AI Microchip / GPU </t>
  </si>
  <si>
    <t>Supplier A Region</t>
  </si>
  <si>
    <t>Taiwan</t>
  </si>
  <si>
    <t>Supplier B Region</t>
  </si>
  <si>
    <t>South Korea</t>
  </si>
  <si>
    <t>Supplier C Region</t>
  </si>
  <si>
    <t>United States Domestic Hub</t>
  </si>
  <si>
    <t>Score Scale</t>
  </si>
  <si>
    <t>1 to 5</t>
  </si>
  <si>
    <t>Currency</t>
  </si>
  <si>
    <t>USD</t>
  </si>
  <si>
    <t>Supplier A</t>
  </si>
  <si>
    <t>Supplier C</t>
  </si>
  <si>
    <t>Supplier Group</t>
  </si>
  <si>
    <t>Region</t>
  </si>
  <si>
    <t>USA</t>
  </si>
  <si>
    <t>Company</t>
  </si>
  <si>
    <t>TSMC</t>
  </si>
  <si>
    <t>Wistron</t>
  </si>
  <si>
    <t>SK hynix</t>
  </si>
  <si>
    <t>Samsung Electronics</t>
  </si>
  <si>
    <t>SK Siltron</t>
  </si>
  <si>
    <t>TSMC Arizona</t>
  </si>
  <si>
    <t>Micron</t>
  </si>
  <si>
    <t>Amkor</t>
  </si>
  <si>
    <t>Intel Foundry</t>
  </si>
  <si>
    <t>DigiKey</t>
  </si>
  <si>
    <t>Mouser</t>
  </si>
  <si>
    <t>Arrow Electronics</t>
  </si>
  <si>
    <t>Avnet</t>
  </si>
  <si>
    <t>Supply Chain Role</t>
  </si>
  <si>
    <t>Product / Service</t>
  </si>
  <si>
    <t>Advanced foundry</t>
  </si>
  <si>
    <t>Advanced AI chip manufacturing</t>
  </si>
  <si>
    <t>TSMC CoWoS</t>
  </si>
  <si>
    <t>Advanced packaging</t>
  </si>
  <si>
    <t>GPU and HBM packaging</t>
  </si>
  <si>
    <t>GlobalWafers</t>
  </si>
  <si>
    <t>Silicon wafer supplier</t>
  </si>
  <si>
    <t>Silicon wafers</t>
  </si>
  <si>
    <t>Foxconn</t>
  </si>
  <si>
    <t>System assembly</t>
  </si>
  <si>
    <t>AI servers and electronics assembly</t>
  </si>
  <si>
    <t>Server and electronics assembly</t>
  </si>
  <si>
    <t>Supplier B</t>
  </si>
  <si>
    <t>Memory supplier</t>
  </si>
  <si>
    <t>HBM memory</t>
  </si>
  <si>
    <t>Memory / foundry</t>
  </si>
  <si>
    <t>HBM, DRAM, semiconductor manufacturing</t>
  </si>
  <si>
    <t>Domestic foundry</t>
  </si>
  <si>
    <t>U.S.-based chip manufacturing</t>
  </si>
  <si>
    <t>DRAM / HBM memory potential</t>
  </si>
  <si>
    <t>Semiconductor packaging</t>
  </si>
  <si>
    <t>Potential chip manufacturing alternative</t>
  </si>
  <si>
    <t>Local seller / distributor</t>
  </si>
  <si>
    <t>Electronic components</t>
  </si>
  <si>
    <t>Distributor / supply chain services</t>
  </si>
  <si>
    <t>Electronic components and supply chain support</t>
  </si>
  <si>
    <t>Supplier Region</t>
  </si>
  <si>
    <t>Geopolitical Risk</t>
  </si>
  <si>
    <t>Lead Time</t>
  </si>
  <si>
    <t>Tariff / Trade Cost</t>
  </si>
  <si>
    <t>Contract Lead Time</t>
  </si>
  <si>
    <t>Supplier Criticality</t>
  </si>
  <si>
    <t>Substitution Difficulty</t>
  </si>
  <si>
    <t>Weighted Score</t>
  </si>
  <si>
    <t>Category</t>
  </si>
  <si>
    <t>Weight</t>
  </si>
  <si>
    <t>Lead Time Risk</t>
  </si>
  <si>
    <t>Capacity Availibility</t>
  </si>
  <si>
    <t>USA Domestic Hub</t>
  </si>
  <si>
    <t>Geo Risk</t>
  </si>
  <si>
    <t>Tariff/Trade</t>
  </si>
  <si>
    <t>Capactity</t>
  </si>
  <si>
    <t>Criticality</t>
  </si>
  <si>
    <t>Substitution</t>
  </si>
  <si>
    <t>Rank</t>
  </si>
  <si>
    <t>Contract Lead</t>
  </si>
  <si>
    <t>5 = Lowest Risk</t>
  </si>
  <si>
    <t>4 = Good</t>
  </si>
  <si>
    <t>3 = Moderate</t>
  </si>
  <si>
    <t>2 = High Risk</t>
  </si>
  <si>
    <t>1 = Very High Risk</t>
  </si>
  <si>
    <t>Domestic / stable policy environment</t>
  </si>
  <si>
    <t>Short and reliable lead time</t>
  </si>
  <si>
    <t>No tariff or import exposure</t>
  </si>
  <si>
    <t>Fast onboarding and flexible terms</t>
  </si>
  <si>
    <t>Strong capacity available</t>
  </si>
  <si>
    <t>Important but not single point of failure</t>
  </si>
  <si>
    <t>Easy to replace</t>
  </si>
  <si>
    <t>Low cross-border risk</t>
  </si>
  <si>
    <t>Mostly reliable lead time</t>
  </si>
  <si>
    <t>Low tariff exposure</t>
  </si>
  <si>
    <t>Reasonable contract cycle</t>
  </si>
  <si>
    <t>Capacity mostly available</t>
  </si>
  <si>
    <t>Important, with alternatives</t>
  </si>
  <si>
    <t>Alternatives exist</t>
  </si>
  <si>
    <t>Some regional or policy risk</t>
  </si>
  <si>
    <t>High regional exposure</t>
  </si>
  <si>
    <t>Severe geopolitical concentration</t>
  </si>
  <si>
    <t>Moderate variability</t>
  </si>
  <si>
    <t>Long or uncertain lead time</t>
  </si>
  <si>
    <t>Very long or highly unpredictable</t>
  </si>
  <si>
    <t>Moderate trade exposure</t>
  </si>
  <si>
    <t>High tariff uncertainty</t>
  </si>
  <si>
    <t>High tariff / restriction risk</t>
  </si>
  <si>
    <t>Average negotiation cycle</t>
  </si>
  <si>
    <t>Slow or complex contracting</t>
  </si>
  <si>
    <t>Very difficult access / long-term allocation only</t>
  </si>
  <si>
    <t>Capacity constrained but manageable</t>
  </si>
  <si>
    <t>Major bottleneck risk</t>
  </si>
  <si>
    <t>Severe bottleneck / allocation risk</t>
  </si>
  <si>
    <t>Moderately critical</t>
  </si>
  <si>
    <t>Highly critical</t>
  </si>
  <si>
    <t>Essential and hard to operate without</t>
  </si>
  <si>
    <t>Some alternatives, switching cost</t>
  </si>
  <si>
    <t>Few realistic substitutes</t>
  </si>
  <si>
    <t>Near impossible to substitute short-term</t>
  </si>
  <si>
    <t>Normal Conditions</t>
  </si>
  <si>
    <t>Geopolitical Shock</t>
  </si>
  <si>
    <t>Capacity Shortage</t>
  </si>
  <si>
    <t>Domestic Resilience Strategy</t>
  </si>
  <si>
    <t>Cost / Trade Pressure</t>
  </si>
  <si>
    <t>Scenario</t>
  </si>
  <si>
    <t>Tariff</t>
  </si>
  <si>
    <t>Contract</t>
  </si>
  <si>
    <t>Capacity</t>
  </si>
  <si>
    <t>Scenario Score</t>
  </si>
  <si>
    <t>Risk</t>
  </si>
  <si>
    <t>Taiwan Exposure</t>
  </si>
  <si>
    <t>South Korea Exposure</t>
  </si>
  <si>
    <t>USA Domestic Hub Exposure</t>
  </si>
  <si>
    <t>Impact</t>
  </si>
  <si>
    <t>Mitigation</t>
  </si>
  <si>
    <t>Geopolitical disruption</t>
  </si>
  <si>
    <t>High</t>
  </si>
  <si>
    <t>Medium</t>
  </si>
  <si>
    <t>Low</t>
  </si>
  <si>
    <t>Capacity shortage</t>
  </si>
  <si>
    <t>Medium-high</t>
  </si>
  <si>
    <t>HBM memory bottleneck</t>
  </si>
  <si>
    <t>Low-medium</t>
  </si>
  <si>
    <t>Advanced packaging bottleneck</t>
  </si>
  <si>
    <t>Tariff / trade policy change</t>
  </si>
  <si>
    <t>Lead time delay</t>
  </si>
  <si>
    <t>Supplier concentration</t>
  </si>
  <si>
    <t>Contract lead time</t>
  </si>
  <si>
    <t>Could disrupt foundry, packaging, and delivery timelines</t>
  </si>
  <si>
    <t>Dual-source by region; increase domestic capacity; monitor Taiwan Strait risk</t>
  </si>
  <si>
    <t>Could limit AI chip output even if demand exists</t>
  </si>
  <si>
    <t>Long-term capacity agreements; reserve capacity; qualify alternates</t>
  </si>
  <si>
    <t>Could delay AI chip production and increase costs</t>
  </si>
  <si>
    <t>Use multiple memory suppliers; increase inventory buffer; monitor HBM roadmap</t>
  </si>
  <si>
    <t>Could delay completed AI accelerators</t>
  </si>
  <si>
    <t>Develop alternate packaging partners; use U.S. packaging where possible</t>
  </si>
  <si>
    <t>Could raise landed cost or restrict imports</t>
  </si>
  <si>
    <t>HTS review; trade compliance monitoring; domestic hub option</t>
  </si>
  <si>
    <t>Could delay customer shipments</t>
  </si>
  <si>
    <t>Safety stock; split sourcing; faster domestic replenishment</t>
  </si>
  <si>
    <t>Creates single point of failure</t>
  </si>
  <si>
    <t>Qualify second sources; build supplier scorecard and trigger points</t>
  </si>
  <si>
    <t>Delays onboarding or capacity access</t>
  </si>
  <si>
    <t>Framework agreements; pre-approved supplier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</si>
</sst>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E0A1-811C-7046-9E0F-9F2F59A7B9B8}">
  <dimension ref="A1:B8"/>
  <sheetViews>
    <sheetView workbookViewId="0">
      <selection activeCell="E25" sqref="E25"/>
    </sheetView>
  </sheetViews>
  <sheetFormatPr baseColWidth="10" defaultRowHeight="16" x14ac:dyDescent="0.2"/>
  <cols>
    <col min="1" max="1" width="19.5" bestFit="1" customWidth="1"/>
    <col min="2" max="2" width="29" bestFit="1" customWidth="1"/>
  </cols>
  <sheetData>
    <row r="1" spans="1:2" x14ac:dyDescent="0.2">
      <c r="A1" s="24" t="s">
        <v>0</v>
      </c>
      <c r="B1" s="25" t="s">
        <v>1</v>
      </c>
    </row>
    <row r="2" spans="1:2" x14ac:dyDescent="0.2">
      <c r="A2" s="24" t="s">
        <v>2</v>
      </c>
      <c r="B2" s="25" t="s">
        <v>3</v>
      </c>
    </row>
    <row r="3" spans="1:2" x14ac:dyDescent="0.2">
      <c r="A3" s="24" t="s">
        <v>4</v>
      </c>
      <c r="B3" s="25" t="s">
        <v>5</v>
      </c>
    </row>
    <row r="4" spans="1:2" x14ac:dyDescent="0.2">
      <c r="A4" s="24" t="s">
        <v>6</v>
      </c>
      <c r="B4" s="25" t="s">
        <v>7</v>
      </c>
    </row>
    <row r="5" spans="1:2" x14ac:dyDescent="0.2">
      <c r="A5" s="24" t="s">
        <v>8</v>
      </c>
      <c r="B5" s="25" t="s">
        <v>9</v>
      </c>
    </row>
    <row r="6" spans="1:2" x14ac:dyDescent="0.2">
      <c r="A6" s="24" t="s">
        <v>10</v>
      </c>
      <c r="B6" s="25" t="s">
        <v>11</v>
      </c>
    </row>
    <row r="7" spans="1:2" x14ac:dyDescent="0.2">
      <c r="A7" s="24" t="s">
        <v>12</v>
      </c>
      <c r="B7" s="26" t="s">
        <v>13</v>
      </c>
    </row>
    <row r="8" spans="1:2" x14ac:dyDescent="0.2">
      <c r="A8" s="24" t="s">
        <v>14</v>
      </c>
      <c r="B8" s="2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4AEB-5BA4-A849-AAFE-345958294DB2}">
  <dimension ref="A1:E17"/>
  <sheetViews>
    <sheetView workbookViewId="0"/>
  </sheetViews>
  <sheetFormatPr baseColWidth="10" defaultRowHeight="16" x14ac:dyDescent="0.2"/>
  <cols>
    <col min="1" max="1" width="13.1640625" style="1" bestFit="1" customWidth="1"/>
    <col min="2" max="2" width="10.83203125" style="1"/>
    <col min="3" max="3" width="18" style="1" bestFit="1" customWidth="1"/>
    <col min="4" max="4" width="28.83203125" style="1" bestFit="1" customWidth="1"/>
    <col min="5" max="5" width="40.83203125" style="1" bestFit="1" customWidth="1"/>
    <col min="6" max="6" width="63.5" style="1" bestFit="1" customWidth="1"/>
    <col min="7" max="16384" width="10.83203125" style="1"/>
  </cols>
  <sheetData>
    <row r="1" spans="1:5" x14ac:dyDescent="0.2">
      <c r="A1" s="3" t="s">
        <v>18</v>
      </c>
      <c r="B1" s="3" t="s">
        <v>19</v>
      </c>
      <c r="C1" s="3" t="s">
        <v>21</v>
      </c>
      <c r="D1" s="3" t="s">
        <v>35</v>
      </c>
      <c r="E1" s="3" t="s">
        <v>36</v>
      </c>
    </row>
    <row r="2" spans="1:5" x14ac:dyDescent="0.2">
      <c r="A2" s="1" t="s">
        <v>16</v>
      </c>
      <c r="B2" s="1" t="s">
        <v>7</v>
      </c>
      <c r="C2" s="1" t="s">
        <v>22</v>
      </c>
      <c r="D2" s="1" t="s">
        <v>37</v>
      </c>
      <c r="E2" s="1" t="s">
        <v>38</v>
      </c>
    </row>
    <row r="3" spans="1:5" x14ac:dyDescent="0.2">
      <c r="A3" s="1" t="s">
        <v>16</v>
      </c>
      <c r="B3" s="1" t="s">
        <v>7</v>
      </c>
      <c r="C3" s="1" t="s">
        <v>39</v>
      </c>
      <c r="D3" s="1" t="s">
        <v>40</v>
      </c>
      <c r="E3" s="1" t="s">
        <v>41</v>
      </c>
    </row>
    <row r="4" spans="1:5" x14ac:dyDescent="0.2">
      <c r="A4" s="1" t="s">
        <v>16</v>
      </c>
      <c r="B4" s="1" t="s">
        <v>7</v>
      </c>
      <c r="C4" s="1" t="s">
        <v>42</v>
      </c>
      <c r="D4" s="1" t="s">
        <v>43</v>
      </c>
      <c r="E4" s="1" t="s">
        <v>44</v>
      </c>
    </row>
    <row r="5" spans="1:5" x14ac:dyDescent="0.2">
      <c r="A5" s="1" t="s">
        <v>16</v>
      </c>
      <c r="B5" s="1" t="s">
        <v>7</v>
      </c>
      <c r="C5" s="1" t="s">
        <v>45</v>
      </c>
      <c r="D5" s="1" t="s">
        <v>46</v>
      </c>
      <c r="E5" s="1" t="s">
        <v>47</v>
      </c>
    </row>
    <row r="6" spans="1:5" x14ac:dyDescent="0.2">
      <c r="A6" s="1" t="s">
        <v>16</v>
      </c>
      <c r="B6" s="1" t="s">
        <v>7</v>
      </c>
      <c r="C6" s="1" t="s">
        <v>23</v>
      </c>
      <c r="D6" s="1" t="s">
        <v>46</v>
      </c>
      <c r="E6" s="1" t="s">
        <v>48</v>
      </c>
    </row>
    <row r="7" spans="1:5" x14ac:dyDescent="0.2">
      <c r="A7" s="1" t="s">
        <v>49</v>
      </c>
      <c r="B7" s="1" t="s">
        <v>9</v>
      </c>
      <c r="C7" s="1" t="s">
        <v>24</v>
      </c>
      <c r="D7" s="1" t="s">
        <v>50</v>
      </c>
      <c r="E7" s="1" t="s">
        <v>51</v>
      </c>
    </row>
    <row r="8" spans="1:5" x14ac:dyDescent="0.2">
      <c r="A8" s="1" t="s">
        <v>49</v>
      </c>
      <c r="B8" s="1" t="s">
        <v>9</v>
      </c>
      <c r="C8" s="1" t="s">
        <v>25</v>
      </c>
      <c r="D8" s="1" t="s">
        <v>52</v>
      </c>
      <c r="E8" s="1" t="s">
        <v>53</v>
      </c>
    </row>
    <row r="9" spans="1:5" x14ac:dyDescent="0.2">
      <c r="A9" s="1" t="s">
        <v>49</v>
      </c>
      <c r="B9" s="1" t="s">
        <v>9</v>
      </c>
      <c r="C9" s="1" t="s">
        <v>26</v>
      </c>
      <c r="D9" s="1" t="s">
        <v>43</v>
      </c>
      <c r="E9" s="1" t="s">
        <v>44</v>
      </c>
    </row>
    <row r="10" spans="1:5" x14ac:dyDescent="0.2">
      <c r="A10" s="1" t="s">
        <v>17</v>
      </c>
      <c r="B10" s="1" t="s">
        <v>20</v>
      </c>
      <c r="C10" s="1" t="s">
        <v>27</v>
      </c>
      <c r="D10" s="1" t="s">
        <v>54</v>
      </c>
      <c r="E10" s="1" t="s">
        <v>55</v>
      </c>
    </row>
    <row r="11" spans="1:5" x14ac:dyDescent="0.2">
      <c r="A11" s="1" t="s">
        <v>17</v>
      </c>
      <c r="B11" s="1" t="s">
        <v>20</v>
      </c>
      <c r="C11" s="1" t="s">
        <v>28</v>
      </c>
      <c r="D11" s="1" t="s">
        <v>50</v>
      </c>
      <c r="E11" s="1" t="s">
        <v>56</v>
      </c>
    </row>
    <row r="12" spans="1:5" x14ac:dyDescent="0.2">
      <c r="A12" s="1" t="s">
        <v>17</v>
      </c>
      <c r="B12" s="1" t="s">
        <v>20</v>
      </c>
      <c r="C12" s="1" t="s">
        <v>29</v>
      </c>
      <c r="D12" s="1" t="s">
        <v>40</v>
      </c>
      <c r="E12" s="1" t="s">
        <v>57</v>
      </c>
    </row>
    <row r="13" spans="1:5" x14ac:dyDescent="0.2">
      <c r="A13" s="1" t="s">
        <v>17</v>
      </c>
      <c r="B13" s="1" t="s">
        <v>20</v>
      </c>
      <c r="C13" s="1" t="s">
        <v>30</v>
      </c>
      <c r="D13" s="1" t="s">
        <v>54</v>
      </c>
      <c r="E13" s="1" t="s">
        <v>58</v>
      </c>
    </row>
    <row r="14" spans="1:5" x14ac:dyDescent="0.2">
      <c r="A14" s="1" t="s">
        <v>17</v>
      </c>
      <c r="B14" s="1" t="s">
        <v>20</v>
      </c>
      <c r="C14" s="1" t="s">
        <v>31</v>
      </c>
      <c r="D14" s="1" t="s">
        <v>59</v>
      </c>
      <c r="E14" s="1" t="s">
        <v>60</v>
      </c>
    </row>
    <row r="15" spans="1:5" x14ac:dyDescent="0.2">
      <c r="A15" s="1" t="s">
        <v>17</v>
      </c>
      <c r="B15" s="1" t="s">
        <v>20</v>
      </c>
      <c r="C15" s="1" t="s">
        <v>32</v>
      </c>
      <c r="D15" s="1" t="s">
        <v>59</v>
      </c>
      <c r="E15" s="1" t="s">
        <v>60</v>
      </c>
    </row>
    <row r="16" spans="1:5" x14ac:dyDescent="0.2">
      <c r="A16" s="1" t="s">
        <v>17</v>
      </c>
      <c r="B16" s="1" t="s">
        <v>20</v>
      </c>
      <c r="C16" s="1" t="s">
        <v>33</v>
      </c>
      <c r="D16" s="1" t="s">
        <v>61</v>
      </c>
      <c r="E16" s="1" t="s">
        <v>62</v>
      </c>
    </row>
    <row r="17" spans="1:5" x14ac:dyDescent="0.2">
      <c r="A17" s="1" t="s">
        <v>17</v>
      </c>
      <c r="B17" s="1" t="s">
        <v>20</v>
      </c>
      <c r="C17" s="1" t="s">
        <v>34</v>
      </c>
      <c r="D17" s="1" t="s">
        <v>61</v>
      </c>
      <c r="E17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C35E-7621-114A-9DC3-28BB23DEA48B}">
  <dimension ref="A1:F8"/>
  <sheetViews>
    <sheetView workbookViewId="0">
      <selection activeCell="C15" sqref="C15"/>
    </sheetView>
  </sheetViews>
  <sheetFormatPr baseColWidth="10" defaultRowHeight="16" x14ac:dyDescent="0.2"/>
  <cols>
    <col min="1" max="1" width="18.83203125" bestFit="1" customWidth="1"/>
    <col min="2" max="2" width="32.6640625" bestFit="1" customWidth="1"/>
    <col min="3" max="3" width="23.83203125" bestFit="1" customWidth="1"/>
    <col min="4" max="4" width="32.33203125" bestFit="1" customWidth="1"/>
    <col min="5" max="5" width="24.1640625" bestFit="1" customWidth="1"/>
    <col min="6" max="6" width="39.33203125" bestFit="1" customWidth="1"/>
  </cols>
  <sheetData>
    <row r="1" spans="1:6" x14ac:dyDescent="0.2">
      <c r="A1" s="8" t="s">
        <v>71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</row>
    <row r="2" spans="1:6" x14ac:dyDescent="0.2">
      <c r="A2" s="9" t="s">
        <v>64</v>
      </c>
      <c r="B2" t="s">
        <v>88</v>
      </c>
      <c r="C2" t="s">
        <v>95</v>
      </c>
      <c r="D2" t="s">
        <v>102</v>
      </c>
      <c r="E2" t="s">
        <v>103</v>
      </c>
      <c r="F2" t="s">
        <v>104</v>
      </c>
    </row>
    <row r="3" spans="1:6" x14ac:dyDescent="0.2">
      <c r="A3" s="9" t="s">
        <v>73</v>
      </c>
      <c r="B3" t="s">
        <v>89</v>
      </c>
      <c r="C3" t="s">
        <v>96</v>
      </c>
      <c r="D3" t="s">
        <v>105</v>
      </c>
      <c r="E3" t="s">
        <v>106</v>
      </c>
      <c r="F3" t="s">
        <v>107</v>
      </c>
    </row>
    <row r="4" spans="1:6" x14ac:dyDescent="0.2">
      <c r="A4" s="9" t="s">
        <v>66</v>
      </c>
      <c r="B4" t="s">
        <v>90</v>
      </c>
      <c r="C4" t="s">
        <v>97</v>
      </c>
      <c r="D4" t="s">
        <v>108</v>
      </c>
      <c r="E4" t="s">
        <v>109</v>
      </c>
      <c r="F4" t="s">
        <v>110</v>
      </c>
    </row>
    <row r="5" spans="1:6" x14ac:dyDescent="0.2">
      <c r="A5" s="9" t="s">
        <v>67</v>
      </c>
      <c r="B5" t="s">
        <v>91</v>
      </c>
      <c r="C5" t="s">
        <v>98</v>
      </c>
      <c r="D5" t="s">
        <v>111</v>
      </c>
      <c r="E5" t="s">
        <v>112</v>
      </c>
      <c r="F5" t="s">
        <v>113</v>
      </c>
    </row>
    <row r="6" spans="1:6" x14ac:dyDescent="0.2">
      <c r="A6" s="9" t="s">
        <v>74</v>
      </c>
      <c r="B6" t="s">
        <v>92</v>
      </c>
      <c r="C6" t="s">
        <v>99</v>
      </c>
      <c r="D6" t="s">
        <v>114</v>
      </c>
      <c r="E6" t="s">
        <v>115</v>
      </c>
      <c r="F6" t="s">
        <v>116</v>
      </c>
    </row>
    <row r="7" spans="1:6" x14ac:dyDescent="0.2">
      <c r="A7" s="9" t="s">
        <v>68</v>
      </c>
      <c r="B7" t="s">
        <v>93</v>
      </c>
      <c r="C7" t="s">
        <v>100</v>
      </c>
      <c r="D7" t="s">
        <v>117</v>
      </c>
      <c r="E7" t="s">
        <v>118</v>
      </c>
      <c r="F7" t="s">
        <v>119</v>
      </c>
    </row>
    <row r="8" spans="1:6" x14ac:dyDescent="0.2">
      <c r="A8" s="9" t="s">
        <v>69</v>
      </c>
      <c r="B8" t="s">
        <v>94</v>
      </c>
      <c r="C8" t="s">
        <v>101</v>
      </c>
      <c r="D8" t="s">
        <v>120</v>
      </c>
      <c r="E8" t="s">
        <v>121</v>
      </c>
      <c r="F8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BC6E-00BB-2543-BA5F-E54C8B1C86B9}">
  <dimension ref="A1:M12"/>
  <sheetViews>
    <sheetView workbookViewId="0">
      <selection activeCell="E26" sqref="E26"/>
    </sheetView>
  </sheetViews>
  <sheetFormatPr baseColWidth="10" defaultRowHeight="16" x14ac:dyDescent="0.2"/>
  <cols>
    <col min="1" max="1" width="18.83203125" style="5" bestFit="1" customWidth="1"/>
    <col min="2" max="3" width="10.83203125" style="5"/>
    <col min="4" max="4" width="16.33203125" style="5" bestFit="1" customWidth="1"/>
    <col min="5" max="7" width="10.83203125" style="5"/>
    <col min="8" max="8" width="12.6640625" style="5" bestFit="1" customWidth="1"/>
    <col min="9" max="11" width="10.83203125" style="5"/>
    <col min="12" max="12" width="13.83203125" style="5" bestFit="1" customWidth="1"/>
    <col min="13" max="16384" width="10.83203125" style="5"/>
  </cols>
  <sheetData>
    <row r="1" spans="1:13" x14ac:dyDescent="0.2">
      <c r="A1" s="4" t="s">
        <v>71</v>
      </c>
      <c r="B1" s="4" t="s">
        <v>72</v>
      </c>
      <c r="C1" s="6"/>
      <c r="D1" s="4" t="s">
        <v>63</v>
      </c>
      <c r="E1" s="4" t="s">
        <v>76</v>
      </c>
      <c r="F1" s="4" t="s">
        <v>65</v>
      </c>
      <c r="G1" s="4" t="s">
        <v>77</v>
      </c>
      <c r="H1" s="4" t="s">
        <v>82</v>
      </c>
      <c r="I1" s="4" t="s">
        <v>78</v>
      </c>
      <c r="J1" s="4" t="s">
        <v>79</v>
      </c>
      <c r="K1" s="4" t="s">
        <v>80</v>
      </c>
      <c r="L1" s="4" t="s">
        <v>70</v>
      </c>
      <c r="M1" s="4" t="s">
        <v>81</v>
      </c>
    </row>
    <row r="2" spans="1:13" x14ac:dyDescent="0.2">
      <c r="A2" s="6" t="s">
        <v>64</v>
      </c>
      <c r="B2" s="7">
        <v>0.2</v>
      </c>
      <c r="C2" s="6"/>
      <c r="D2" s="6" t="s">
        <v>7</v>
      </c>
      <c r="E2" s="6">
        <v>2</v>
      </c>
      <c r="F2" s="5">
        <v>3</v>
      </c>
      <c r="G2" s="6">
        <v>4</v>
      </c>
      <c r="H2" s="6">
        <v>3</v>
      </c>
      <c r="I2" s="6">
        <v>2</v>
      </c>
      <c r="J2" s="6">
        <v>5</v>
      </c>
      <c r="K2" s="6">
        <v>1</v>
      </c>
      <c r="L2">
        <f>E2*$B$2+F2*$B$3+G2*$B$4+H2*$B$5+I2*$B$6+J2*$B$7+K2*$B$8</f>
        <v>2.8000000000000003</v>
      </c>
      <c r="M2" s="5">
        <f>_xlfn.RANK.EQ(L2,$L$2:$L$4,0)</f>
        <v>3</v>
      </c>
    </row>
    <row r="3" spans="1:13" x14ac:dyDescent="0.2">
      <c r="A3" s="6" t="s">
        <v>73</v>
      </c>
      <c r="B3" s="7">
        <v>0.15</v>
      </c>
      <c r="C3" s="6"/>
      <c r="D3" s="6" t="s">
        <v>9</v>
      </c>
      <c r="E3" s="6">
        <v>3</v>
      </c>
      <c r="F3" s="5">
        <v>3</v>
      </c>
      <c r="G3" s="6">
        <v>4</v>
      </c>
      <c r="H3" s="6">
        <v>3</v>
      </c>
      <c r="I3" s="6">
        <v>3</v>
      </c>
      <c r="J3" s="6">
        <v>5</v>
      </c>
      <c r="K3" s="6">
        <v>2</v>
      </c>
      <c r="L3">
        <f t="shared" ref="L3:L4" si="0">E3*$B$2+F3*$B$3+G3*$B$4+H3*$B$5+I3*$B$6+J3*$B$7+K3*$B$8</f>
        <v>3.3000000000000007</v>
      </c>
      <c r="M3" s="5">
        <f t="shared" ref="M3:M4" si="1">_xlfn.RANK.EQ(L3,$L$2:$L$4,0)</f>
        <v>2</v>
      </c>
    </row>
    <row r="4" spans="1:13" x14ac:dyDescent="0.2">
      <c r="A4" s="6" t="s">
        <v>66</v>
      </c>
      <c r="B4" s="7">
        <v>0.1</v>
      </c>
      <c r="C4" s="6"/>
      <c r="D4" s="6" t="s">
        <v>75</v>
      </c>
      <c r="E4" s="6">
        <v>5</v>
      </c>
      <c r="F4" s="5">
        <v>5</v>
      </c>
      <c r="G4" s="6">
        <v>5</v>
      </c>
      <c r="H4" s="6">
        <v>4</v>
      </c>
      <c r="I4" s="6">
        <v>3</v>
      </c>
      <c r="J4" s="6">
        <v>3</v>
      </c>
      <c r="K4" s="6">
        <v>4</v>
      </c>
      <c r="L4">
        <f t="shared" si="0"/>
        <v>4.1000000000000005</v>
      </c>
      <c r="M4" s="5">
        <f t="shared" si="1"/>
        <v>1</v>
      </c>
    </row>
    <row r="5" spans="1:13" x14ac:dyDescent="0.2">
      <c r="A5" s="6" t="s">
        <v>67</v>
      </c>
      <c r="B5" s="7">
        <v>0.1</v>
      </c>
      <c r="C5" s="6"/>
      <c r="D5" s="6"/>
      <c r="E5" s="6"/>
    </row>
    <row r="6" spans="1:13" x14ac:dyDescent="0.2">
      <c r="A6" s="6" t="s">
        <v>74</v>
      </c>
      <c r="B6" s="7">
        <v>0.2</v>
      </c>
      <c r="C6" s="6"/>
      <c r="D6" s="6"/>
      <c r="E6" s="6"/>
    </row>
    <row r="7" spans="1:13" x14ac:dyDescent="0.2">
      <c r="A7" s="6" t="s">
        <v>68</v>
      </c>
      <c r="B7" s="7">
        <v>0.15</v>
      </c>
      <c r="C7" s="6"/>
      <c r="D7" s="6"/>
      <c r="E7" s="6"/>
    </row>
    <row r="8" spans="1:13" x14ac:dyDescent="0.2">
      <c r="A8" s="6" t="s">
        <v>69</v>
      </c>
      <c r="B8" s="7">
        <v>0.1</v>
      </c>
      <c r="C8" s="6"/>
      <c r="D8" s="6"/>
      <c r="E8" s="6"/>
    </row>
    <row r="9" spans="1:13" x14ac:dyDescent="0.2">
      <c r="A9" s="6"/>
      <c r="B9" s="6"/>
      <c r="C9" s="6"/>
      <c r="D9" s="6"/>
      <c r="E9" s="6"/>
    </row>
    <row r="10" spans="1:13" x14ac:dyDescent="0.2">
      <c r="A10" s="6"/>
      <c r="B10" s="6"/>
      <c r="C10" s="6"/>
      <c r="D10" s="6"/>
      <c r="E10" s="6"/>
    </row>
    <row r="11" spans="1:13" x14ac:dyDescent="0.2">
      <c r="A11" s="6"/>
      <c r="B11" s="6"/>
      <c r="C11" s="6"/>
      <c r="D11" s="6"/>
      <c r="E11" s="6"/>
    </row>
    <row r="12" spans="1:13" x14ac:dyDescent="0.2">
      <c r="A12" s="6"/>
      <c r="B12" s="6"/>
      <c r="C12" s="6"/>
      <c r="D12" s="6"/>
      <c r="E1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CE5D-EC5D-F744-B2F5-B40C359F0B0A}">
  <dimension ref="A1:K21"/>
  <sheetViews>
    <sheetView tabSelected="1" workbookViewId="0">
      <selection activeCell="A27" sqref="A27"/>
    </sheetView>
  </sheetViews>
  <sheetFormatPr baseColWidth="10" defaultRowHeight="16" x14ac:dyDescent="0.2"/>
  <cols>
    <col min="1" max="1" width="25.1640625" style="1" bestFit="1" customWidth="1"/>
    <col min="2" max="2" width="16.33203125" style="1" bestFit="1" customWidth="1"/>
    <col min="3" max="3" width="8.5" style="1" bestFit="1" customWidth="1"/>
    <col min="4" max="4" width="9.5" style="1" bestFit="1" customWidth="1"/>
    <col min="5" max="5" width="5.5" style="1" bestFit="1" customWidth="1"/>
    <col min="6" max="7" width="8.5" style="1" bestFit="1" customWidth="1"/>
    <col min="8" max="8" width="9.33203125" style="1" bestFit="1" customWidth="1"/>
    <col min="9" max="9" width="11.1640625" style="1" bestFit="1" customWidth="1"/>
    <col min="10" max="10" width="13.33203125" style="1" bestFit="1" customWidth="1"/>
    <col min="11" max="11" width="5.33203125" style="1" bestFit="1" customWidth="1"/>
    <col min="12" max="16384" width="10.83203125" style="1"/>
  </cols>
  <sheetData>
    <row r="1" spans="1:11" x14ac:dyDescent="0.2">
      <c r="A1" s="3" t="s">
        <v>128</v>
      </c>
      <c r="B1" s="3" t="s">
        <v>19</v>
      </c>
      <c r="C1" s="3" t="s">
        <v>76</v>
      </c>
      <c r="D1" s="3" t="s">
        <v>65</v>
      </c>
      <c r="E1" s="3" t="s">
        <v>129</v>
      </c>
      <c r="F1" s="3" t="s">
        <v>130</v>
      </c>
      <c r="G1" s="3" t="s">
        <v>131</v>
      </c>
      <c r="H1" s="3" t="s">
        <v>79</v>
      </c>
      <c r="I1" s="3" t="s">
        <v>80</v>
      </c>
      <c r="J1" s="3" t="s">
        <v>132</v>
      </c>
      <c r="K1" s="3" t="s">
        <v>81</v>
      </c>
    </row>
    <row r="2" spans="1:11" x14ac:dyDescent="0.2">
      <c r="A2" s="10" t="s">
        <v>123</v>
      </c>
      <c r="B2" s="2"/>
      <c r="C2" s="11">
        <v>0.2</v>
      </c>
      <c r="D2" s="11">
        <v>0.15</v>
      </c>
      <c r="E2" s="11">
        <v>0.1</v>
      </c>
      <c r="F2" s="11">
        <v>0.1</v>
      </c>
      <c r="G2" s="11">
        <v>0.2</v>
      </c>
      <c r="H2" s="11">
        <v>0.15</v>
      </c>
      <c r="I2" s="11">
        <v>0.1</v>
      </c>
      <c r="J2" s="2"/>
      <c r="K2" s="2"/>
    </row>
    <row r="3" spans="1:11" x14ac:dyDescent="0.2">
      <c r="A3" s="10" t="s">
        <v>124</v>
      </c>
      <c r="B3" s="2"/>
      <c r="C3" s="11">
        <v>0.35</v>
      </c>
      <c r="D3" s="11">
        <v>0.15</v>
      </c>
      <c r="E3" s="11">
        <v>0.1</v>
      </c>
      <c r="F3" s="11">
        <v>0.05</v>
      </c>
      <c r="G3" s="11">
        <v>0.15</v>
      </c>
      <c r="H3" s="11">
        <v>0.1</v>
      </c>
      <c r="I3" s="11">
        <v>0.1</v>
      </c>
      <c r="J3" s="2"/>
      <c r="K3" s="2"/>
    </row>
    <row r="4" spans="1:11" x14ac:dyDescent="0.2">
      <c r="A4" s="10" t="s">
        <v>125</v>
      </c>
      <c r="B4" s="2"/>
      <c r="C4" s="11">
        <v>0.15</v>
      </c>
      <c r="D4" s="11">
        <v>0.2</v>
      </c>
      <c r="E4" s="11">
        <v>0.05</v>
      </c>
      <c r="F4" s="11">
        <v>0.1</v>
      </c>
      <c r="G4" s="11">
        <v>0.35</v>
      </c>
      <c r="H4" s="11">
        <v>0.1</v>
      </c>
      <c r="I4" s="11">
        <v>0.05</v>
      </c>
      <c r="J4" s="2"/>
      <c r="K4" s="2"/>
    </row>
    <row r="5" spans="1:11" x14ac:dyDescent="0.2">
      <c r="A5" s="10" t="s">
        <v>126</v>
      </c>
      <c r="B5" s="2"/>
      <c r="C5" s="11">
        <v>0.25</v>
      </c>
      <c r="D5" s="11">
        <v>0.2</v>
      </c>
      <c r="E5" s="11">
        <v>0.1</v>
      </c>
      <c r="F5" s="11">
        <v>0.1</v>
      </c>
      <c r="G5" s="11">
        <v>0.15</v>
      </c>
      <c r="H5" s="11">
        <v>0.1</v>
      </c>
      <c r="I5" s="11">
        <v>0.1</v>
      </c>
      <c r="J5" s="2"/>
      <c r="K5" s="2"/>
    </row>
    <row r="6" spans="1:11" x14ac:dyDescent="0.2">
      <c r="A6" s="10" t="s">
        <v>127</v>
      </c>
      <c r="B6" s="2"/>
      <c r="C6" s="11">
        <v>0.15</v>
      </c>
      <c r="D6" s="11">
        <v>0.1</v>
      </c>
      <c r="E6" s="11">
        <v>0.25</v>
      </c>
      <c r="F6" s="11">
        <v>0.1</v>
      </c>
      <c r="G6" s="11">
        <v>0.2</v>
      </c>
      <c r="H6" s="11">
        <v>0.1</v>
      </c>
      <c r="I6" s="11">
        <v>0.1</v>
      </c>
      <c r="J6" s="2"/>
      <c r="K6" s="2"/>
    </row>
    <row r="7" spans="1:11" x14ac:dyDescent="0.2">
      <c r="A7" s="12" t="s">
        <v>123</v>
      </c>
      <c r="B7" s="13" t="s">
        <v>7</v>
      </c>
      <c r="C7" s="13">
        <v>2</v>
      </c>
      <c r="D7" s="13">
        <v>3</v>
      </c>
      <c r="E7" s="13">
        <v>4</v>
      </c>
      <c r="F7" s="13">
        <v>3</v>
      </c>
      <c r="G7" s="13">
        <v>2</v>
      </c>
      <c r="H7" s="13">
        <v>5</v>
      </c>
      <c r="I7" s="13">
        <v>1</v>
      </c>
      <c r="J7" s="14">
        <v>2.8</v>
      </c>
      <c r="K7" s="15">
        <v>3</v>
      </c>
    </row>
    <row r="8" spans="1:11" x14ac:dyDescent="0.2">
      <c r="A8" s="16" t="s">
        <v>123</v>
      </c>
      <c r="B8" s="17" t="s">
        <v>9</v>
      </c>
      <c r="C8" s="17">
        <v>3</v>
      </c>
      <c r="D8" s="17">
        <v>3</v>
      </c>
      <c r="E8" s="17">
        <v>4</v>
      </c>
      <c r="F8" s="17">
        <v>3</v>
      </c>
      <c r="G8" s="17">
        <v>3</v>
      </c>
      <c r="H8" s="17">
        <v>5</v>
      </c>
      <c r="I8" s="17">
        <v>2</v>
      </c>
      <c r="J8" s="18">
        <v>3.3</v>
      </c>
      <c r="K8" s="19">
        <v>2</v>
      </c>
    </row>
    <row r="9" spans="1:11" x14ac:dyDescent="0.2">
      <c r="A9" s="20" t="s">
        <v>123</v>
      </c>
      <c r="B9" s="21" t="s">
        <v>75</v>
      </c>
      <c r="C9" s="21">
        <v>5</v>
      </c>
      <c r="D9" s="21">
        <v>5</v>
      </c>
      <c r="E9" s="21">
        <v>5</v>
      </c>
      <c r="F9" s="21">
        <v>4</v>
      </c>
      <c r="G9" s="21">
        <v>3</v>
      </c>
      <c r="H9" s="21">
        <v>3</v>
      </c>
      <c r="I9" s="21">
        <v>4</v>
      </c>
      <c r="J9" s="22">
        <v>4.0999999999999996</v>
      </c>
      <c r="K9" s="23">
        <v>1</v>
      </c>
    </row>
    <row r="10" spans="1:11" x14ac:dyDescent="0.2">
      <c r="A10" s="12" t="s">
        <v>124</v>
      </c>
      <c r="B10" s="13" t="s">
        <v>7</v>
      </c>
      <c r="C10" s="13">
        <v>2</v>
      </c>
      <c r="D10" s="13">
        <v>3</v>
      </c>
      <c r="E10" s="13">
        <v>4</v>
      </c>
      <c r="F10" s="13">
        <v>3</v>
      </c>
      <c r="G10" s="13">
        <v>2</v>
      </c>
      <c r="H10" s="13">
        <v>5</v>
      </c>
      <c r="I10" s="13">
        <v>1</v>
      </c>
      <c r="J10" s="14">
        <v>2.6</v>
      </c>
      <c r="K10" s="15">
        <v>3</v>
      </c>
    </row>
    <row r="11" spans="1:11" x14ac:dyDescent="0.2">
      <c r="A11" s="16" t="s">
        <v>124</v>
      </c>
      <c r="B11" s="17" t="s">
        <v>9</v>
      </c>
      <c r="C11" s="17">
        <v>3</v>
      </c>
      <c r="D11" s="17">
        <v>3</v>
      </c>
      <c r="E11" s="17">
        <v>4</v>
      </c>
      <c r="F11" s="17">
        <v>3</v>
      </c>
      <c r="G11" s="17">
        <v>3</v>
      </c>
      <c r="H11" s="17">
        <v>5</v>
      </c>
      <c r="I11" s="17">
        <v>2</v>
      </c>
      <c r="J11" s="18">
        <v>3.2</v>
      </c>
      <c r="K11" s="19">
        <v>2</v>
      </c>
    </row>
    <row r="12" spans="1:11" x14ac:dyDescent="0.2">
      <c r="A12" s="20" t="s">
        <v>124</v>
      </c>
      <c r="B12" s="21" t="s">
        <v>75</v>
      </c>
      <c r="C12" s="21">
        <v>5</v>
      </c>
      <c r="D12" s="21">
        <v>5</v>
      </c>
      <c r="E12" s="21">
        <v>5</v>
      </c>
      <c r="F12" s="21">
        <v>4</v>
      </c>
      <c r="G12" s="21">
        <v>3</v>
      </c>
      <c r="H12" s="21">
        <v>3</v>
      </c>
      <c r="I12" s="21">
        <v>4</v>
      </c>
      <c r="J12" s="22">
        <v>4.3499999999999996</v>
      </c>
      <c r="K12" s="23">
        <v>1</v>
      </c>
    </row>
    <row r="13" spans="1:11" x14ac:dyDescent="0.2">
      <c r="A13" s="12" t="s">
        <v>125</v>
      </c>
      <c r="B13" s="13" t="s">
        <v>7</v>
      </c>
      <c r="C13" s="13">
        <v>2</v>
      </c>
      <c r="D13" s="13">
        <v>3</v>
      </c>
      <c r="E13" s="13">
        <v>4</v>
      </c>
      <c r="F13" s="13">
        <v>3</v>
      </c>
      <c r="G13" s="13">
        <v>2</v>
      </c>
      <c r="H13" s="13">
        <v>5</v>
      </c>
      <c r="I13" s="13">
        <v>1</v>
      </c>
      <c r="J13" s="14">
        <v>2.65</v>
      </c>
      <c r="K13" s="15">
        <v>3</v>
      </c>
    </row>
    <row r="14" spans="1:11" x14ac:dyDescent="0.2">
      <c r="A14" s="16" t="s">
        <v>125</v>
      </c>
      <c r="B14" s="17" t="s">
        <v>9</v>
      </c>
      <c r="C14" s="17">
        <v>3</v>
      </c>
      <c r="D14" s="17">
        <v>3</v>
      </c>
      <c r="E14" s="17">
        <v>4</v>
      </c>
      <c r="F14" s="17">
        <v>3</v>
      </c>
      <c r="G14" s="17">
        <v>3</v>
      </c>
      <c r="H14" s="17">
        <v>5</v>
      </c>
      <c r="I14" s="17">
        <v>2</v>
      </c>
      <c r="J14" s="18">
        <v>3.2</v>
      </c>
      <c r="K14" s="19">
        <v>2</v>
      </c>
    </row>
    <row r="15" spans="1:11" x14ac:dyDescent="0.2">
      <c r="A15" s="20" t="s">
        <v>125</v>
      </c>
      <c r="B15" s="21" t="s">
        <v>75</v>
      </c>
      <c r="C15" s="21">
        <v>5</v>
      </c>
      <c r="D15" s="21">
        <v>5</v>
      </c>
      <c r="E15" s="21">
        <v>5</v>
      </c>
      <c r="F15" s="21">
        <v>4</v>
      </c>
      <c r="G15" s="21">
        <v>3</v>
      </c>
      <c r="H15" s="21">
        <v>3</v>
      </c>
      <c r="I15" s="21">
        <v>4</v>
      </c>
      <c r="J15" s="22">
        <v>3.95</v>
      </c>
      <c r="K15" s="23">
        <v>1</v>
      </c>
    </row>
    <row r="16" spans="1:11" x14ac:dyDescent="0.2">
      <c r="A16" s="12" t="s">
        <v>126</v>
      </c>
      <c r="B16" s="13" t="s">
        <v>7</v>
      </c>
      <c r="C16" s="13">
        <v>2</v>
      </c>
      <c r="D16" s="13">
        <v>3</v>
      </c>
      <c r="E16" s="13">
        <v>4</v>
      </c>
      <c r="F16" s="13">
        <v>3</v>
      </c>
      <c r="G16" s="13">
        <v>2</v>
      </c>
      <c r="H16" s="13">
        <v>5</v>
      </c>
      <c r="I16" s="13">
        <v>1</v>
      </c>
      <c r="J16" s="14">
        <v>2.7</v>
      </c>
      <c r="K16" s="15">
        <v>3</v>
      </c>
    </row>
    <row r="17" spans="1:11" x14ac:dyDescent="0.2">
      <c r="A17" s="16" t="s">
        <v>126</v>
      </c>
      <c r="B17" s="17" t="s">
        <v>9</v>
      </c>
      <c r="C17" s="17">
        <v>3</v>
      </c>
      <c r="D17" s="17">
        <v>3</v>
      </c>
      <c r="E17" s="17">
        <v>4</v>
      </c>
      <c r="F17" s="17">
        <v>3</v>
      </c>
      <c r="G17" s="17">
        <v>3</v>
      </c>
      <c r="H17" s="17">
        <v>5</v>
      </c>
      <c r="I17" s="17">
        <v>2</v>
      </c>
      <c r="J17" s="18">
        <v>3.2</v>
      </c>
      <c r="K17" s="19">
        <v>2</v>
      </c>
    </row>
    <row r="18" spans="1:11" x14ac:dyDescent="0.2">
      <c r="A18" s="20" t="s">
        <v>126</v>
      </c>
      <c r="B18" s="21" t="s">
        <v>75</v>
      </c>
      <c r="C18" s="21">
        <v>5</v>
      </c>
      <c r="D18" s="21">
        <v>5</v>
      </c>
      <c r="E18" s="21">
        <v>5</v>
      </c>
      <c r="F18" s="21">
        <v>4</v>
      </c>
      <c r="G18" s="21">
        <v>3</v>
      </c>
      <c r="H18" s="21">
        <v>3</v>
      </c>
      <c r="I18" s="21">
        <v>4</v>
      </c>
      <c r="J18" s="22">
        <v>4.3</v>
      </c>
      <c r="K18" s="23">
        <v>1</v>
      </c>
    </row>
    <row r="19" spans="1:11" x14ac:dyDescent="0.2">
      <c r="A19" s="12" t="s">
        <v>127</v>
      </c>
      <c r="B19" s="13" t="s">
        <v>7</v>
      </c>
      <c r="C19" s="13">
        <v>2</v>
      </c>
      <c r="D19" s="13">
        <v>3</v>
      </c>
      <c r="E19" s="13">
        <v>4</v>
      </c>
      <c r="F19" s="13">
        <v>3</v>
      </c>
      <c r="G19" s="13">
        <v>2</v>
      </c>
      <c r="H19" s="13">
        <v>5</v>
      </c>
      <c r="I19" s="13">
        <v>1</v>
      </c>
      <c r="J19" s="14">
        <v>2.9</v>
      </c>
      <c r="K19" s="15">
        <v>3</v>
      </c>
    </row>
    <row r="20" spans="1:11" x14ac:dyDescent="0.2">
      <c r="A20" s="16" t="s">
        <v>127</v>
      </c>
      <c r="B20" s="17" t="s">
        <v>9</v>
      </c>
      <c r="C20" s="17">
        <v>3</v>
      </c>
      <c r="D20" s="17">
        <v>3</v>
      </c>
      <c r="E20" s="17">
        <v>4</v>
      </c>
      <c r="F20" s="17">
        <v>3</v>
      </c>
      <c r="G20" s="17">
        <v>3</v>
      </c>
      <c r="H20" s="17">
        <v>5</v>
      </c>
      <c r="I20" s="17">
        <v>2</v>
      </c>
      <c r="J20" s="18">
        <v>3.35</v>
      </c>
      <c r="K20" s="19">
        <v>2</v>
      </c>
    </row>
    <row r="21" spans="1:11" x14ac:dyDescent="0.2">
      <c r="A21" s="20" t="s">
        <v>127</v>
      </c>
      <c r="B21" s="21" t="s">
        <v>75</v>
      </c>
      <c r="C21" s="21">
        <v>5</v>
      </c>
      <c r="D21" s="21">
        <v>5</v>
      </c>
      <c r="E21" s="21">
        <v>5</v>
      </c>
      <c r="F21" s="21">
        <v>4</v>
      </c>
      <c r="G21" s="21">
        <v>3</v>
      </c>
      <c r="H21" s="21">
        <v>3</v>
      </c>
      <c r="I21" s="21">
        <v>4</v>
      </c>
      <c r="J21" s="22">
        <v>4.2</v>
      </c>
      <c r="K21" s="2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2725-41BA-AE45-A060-8A6261BC7291}">
  <dimension ref="A1:F9"/>
  <sheetViews>
    <sheetView workbookViewId="0">
      <selection activeCell="E31" sqref="E31"/>
    </sheetView>
  </sheetViews>
  <sheetFormatPr baseColWidth="10" defaultRowHeight="16" x14ac:dyDescent="0.2"/>
  <cols>
    <col min="1" max="1" width="26.83203125" style="1" bestFit="1" customWidth="1"/>
    <col min="2" max="2" width="14.6640625" style="1" bestFit="1" customWidth="1"/>
    <col min="3" max="3" width="19" style="1" bestFit="1" customWidth="1"/>
    <col min="4" max="4" width="24.83203125" style="1" bestFit="1" customWidth="1"/>
    <col min="5" max="5" width="46.5" style="1" bestFit="1" customWidth="1"/>
    <col min="6" max="6" width="67" style="1" bestFit="1" customWidth="1"/>
    <col min="7" max="16384" width="10.83203125" style="1"/>
  </cols>
  <sheetData>
    <row r="1" spans="1:6" x14ac:dyDescent="0.2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138</v>
      </c>
    </row>
    <row r="2" spans="1:6" x14ac:dyDescent="0.2">
      <c r="A2" s="1" t="s">
        <v>139</v>
      </c>
      <c r="B2" s="1" t="s">
        <v>140</v>
      </c>
      <c r="C2" s="1" t="s">
        <v>141</v>
      </c>
      <c r="D2" s="1" t="s">
        <v>142</v>
      </c>
      <c r="E2" s="1" t="s">
        <v>152</v>
      </c>
      <c r="F2" s="1" t="s">
        <v>153</v>
      </c>
    </row>
    <row r="3" spans="1:6" x14ac:dyDescent="0.2">
      <c r="A3" s="1" t="s">
        <v>143</v>
      </c>
      <c r="B3" s="1" t="s">
        <v>140</v>
      </c>
      <c r="C3" s="1" t="s">
        <v>144</v>
      </c>
      <c r="D3" s="1" t="s">
        <v>141</v>
      </c>
      <c r="E3" s="1" t="s">
        <v>154</v>
      </c>
      <c r="F3" s="1" t="s">
        <v>155</v>
      </c>
    </row>
    <row r="4" spans="1:6" x14ac:dyDescent="0.2">
      <c r="A4" s="1" t="s">
        <v>145</v>
      </c>
      <c r="B4" s="1" t="s">
        <v>146</v>
      </c>
      <c r="C4" s="1" t="s">
        <v>140</v>
      </c>
      <c r="D4" s="1" t="s">
        <v>141</v>
      </c>
      <c r="E4" s="1" t="s">
        <v>156</v>
      </c>
      <c r="F4" s="1" t="s">
        <v>157</v>
      </c>
    </row>
    <row r="5" spans="1:6" x14ac:dyDescent="0.2">
      <c r="A5" s="1" t="s">
        <v>147</v>
      </c>
      <c r="B5" s="1" t="s">
        <v>140</v>
      </c>
      <c r="C5" s="1" t="s">
        <v>141</v>
      </c>
      <c r="D5" s="1" t="s">
        <v>141</v>
      </c>
      <c r="E5" s="1" t="s">
        <v>158</v>
      </c>
      <c r="F5" s="1" t="s">
        <v>159</v>
      </c>
    </row>
    <row r="6" spans="1:6" x14ac:dyDescent="0.2">
      <c r="A6" s="1" t="s">
        <v>148</v>
      </c>
      <c r="B6" s="1" t="s">
        <v>141</v>
      </c>
      <c r="C6" s="1" t="s">
        <v>141</v>
      </c>
      <c r="D6" s="1" t="s">
        <v>142</v>
      </c>
      <c r="E6" s="1" t="s">
        <v>160</v>
      </c>
      <c r="F6" s="1" t="s">
        <v>161</v>
      </c>
    </row>
    <row r="7" spans="1:6" x14ac:dyDescent="0.2">
      <c r="A7" s="1" t="s">
        <v>149</v>
      </c>
      <c r="B7" s="1" t="s">
        <v>144</v>
      </c>
      <c r="C7" s="1" t="s">
        <v>141</v>
      </c>
      <c r="D7" s="1" t="s">
        <v>142</v>
      </c>
      <c r="E7" s="1" t="s">
        <v>162</v>
      </c>
      <c r="F7" s="1" t="s">
        <v>163</v>
      </c>
    </row>
    <row r="8" spans="1:6" x14ac:dyDescent="0.2">
      <c r="A8" s="1" t="s">
        <v>150</v>
      </c>
      <c r="B8" s="1" t="s">
        <v>140</v>
      </c>
      <c r="C8" s="1" t="s">
        <v>141</v>
      </c>
      <c r="D8" s="1" t="s">
        <v>146</v>
      </c>
      <c r="E8" s="1" t="s">
        <v>164</v>
      </c>
      <c r="F8" s="1" t="s">
        <v>165</v>
      </c>
    </row>
    <row r="9" spans="1:6" x14ac:dyDescent="0.2">
      <c r="A9" s="1" t="s">
        <v>151</v>
      </c>
      <c r="B9" s="1" t="s">
        <v>141</v>
      </c>
      <c r="C9" s="1" t="s">
        <v>141</v>
      </c>
      <c r="D9" s="1" t="s">
        <v>142</v>
      </c>
      <c r="E9" s="1" t="s">
        <v>166</v>
      </c>
      <c r="F9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Supplier Database</vt:lpstr>
      <vt:lpstr>Scoring Guide</vt:lpstr>
      <vt:lpstr>Scorecard</vt:lpstr>
      <vt:lpstr>Scenario Analysis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 Parikh</dc:creator>
  <cp:lastModifiedBy>Shiven Parikh</cp:lastModifiedBy>
  <dcterms:created xsi:type="dcterms:W3CDTF">2026-06-08T09:13:33Z</dcterms:created>
  <dcterms:modified xsi:type="dcterms:W3CDTF">2026-06-08T11:18:33Z</dcterms:modified>
</cp:coreProperties>
</file>