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shivenparikh/Desktop/"/>
    </mc:Choice>
  </mc:AlternateContent>
  <xr:revisionPtr revIDLastSave="0" documentId="13_ncr:1_{DBBCAB5D-B8DB-244E-922D-87F980B0580C}" xr6:coauthVersionLast="47" xr6:coauthVersionMax="47" xr10:uidLastSave="{00000000-0000-0000-0000-000000000000}"/>
  <bookViews>
    <workbookView xWindow="140" yWindow="920" windowWidth="14480" windowHeight="16540" firstSheet="5" activeTab="12" xr2:uid="{A140C40B-1979-7D48-9D1C-FC0A86DB9111}"/>
  </bookViews>
  <sheets>
    <sheet name="Capability Matrix" sheetId="1" r:id="rId1"/>
    <sheet name="Supplier Master" sheetId="2" r:id="rId2"/>
    <sheet name="Country Risk Matrix" sheetId="3" r:id="rId3"/>
    <sheet name="Scoring Inputs" sheetId="5" r:id="rId4"/>
    <sheet name="Country Trade Risk" sheetId="8" r:id="rId5"/>
    <sheet name="Geographic Diversification" sheetId="9" r:id="rId6"/>
    <sheet name="Advanced Packaging AI Fit" sheetId="10" r:id="rId7"/>
    <sheet name="Technical Capability" sheetId="11" r:id="rId8"/>
    <sheet name="Financial Scale" sheetId="7" r:id="rId9"/>
    <sheet name="US Buyer Fit" sheetId="12" r:id="rId10"/>
    <sheet name="Cost Exposure Proxy" sheetId="13" r:id="rId11"/>
    <sheet name="Data Confidence" sheetId="15" r:id="rId12"/>
    <sheet name="Weighted Score Model" sheetId="6" r:id="rId13"/>
    <sheet name="Source Log" sheetId="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3" i="6" l="1"/>
  <c r="P4" i="6"/>
  <c r="P5" i="6"/>
  <c r="P6" i="6"/>
  <c r="P7" i="6"/>
  <c r="P8" i="6"/>
  <c r="P9" i="6"/>
  <c r="P10" i="6"/>
  <c r="P11" i="6"/>
  <c r="P2" i="6"/>
  <c r="O3" i="6" a="1"/>
  <c r="O3" i="6" s="1"/>
  <c r="O4" i="6" a="1"/>
  <c r="O4" i="6" s="1"/>
  <c r="O5" i="6" a="1"/>
  <c r="O5" i="6"/>
  <c r="O6" i="6" a="1"/>
  <c r="O6" i="6" s="1"/>
  <c r="O7" i="6" a="1"/>
  <c r="O7" i="6" s="1"/>
  <c r="O8" i="6" a="1"/>
  <c r="O8" i="6" s="1"/>
  <c r="O9" i="6" a="1"/>
  <c r="O9" i="6" s="1"/>
  <c r="O10" i="6" a="1"/>
  <c r="O10" i="6"/>
  <c r="O11" i="6" a="1"/>
  <c r="O11" i="6" s="1"/>
  <c r="O2" i="6" a="1"/>
  <c r="O2" i="6" s="1"/>
  <c r="J3" i="6"/>
  <c r="L3" i="6" s="1"/>
  <c r="J4" i="6"/>
  <c r="L4" i="6" s="1"/>
  <c r="J5" i="6"/>
  <c r="L5" i="6" s="1"/>
  <c r="J6" i="6"/>
  <c r="L6" i="6" s="1"/>
  <c r="J7" i="6"/>
  <c r="L7" i="6" s="1"/>
  <c r="J8" i="6"/>
  <c r="L8" i="6" s="1"/>
  <c r="J9" i="6"/>
  <c r="L9" i="6" s="1"/>
  <c r="J10" i="6"/>
  <c r="L10" i="6" s="1"/>
  <c r="J11" i="6"/>
  <c r="L11" i="6" s="1"/>
  <c r="J2" i="6"/>
  <c r="L2" i="6" s="1"/>
  <c r="C3" i="7"/>
  <c r="C4" i="7"/>
  <c r="C5" i="7"/>
  <c r="C6" i="7"/>
  <c r="C8" i="7"/>
  <c r="C10" i="7"/>
  <c r="C11" i="7"/>
  <c r="C2" i="7"/>
  <c r="N8" i="6" l="1"/>
  <c r="M8" i="6"/>
  <c r="N2" i="6"/>
  <c r="M2" i="6"/>
  <c r="N10" i="6"/>
  <c r="M10" i="6"/>
  <c r="N9" i="6"/>
  <c r="M9" i="6"/>
  <c r="N7" i="6"/>
  <c r="M7" i="6"/>
  <c r="N6" i="6"/>
  <c r="M6" i="6"/>
  <c r="N5" i="6"/>
  <c r="M5" i="6"/>
  <c r="N4" i="6"/>
  <c r="M4" i="6"/>
  <c r="N3" i="6"/>
  <c r="M3" i="6"/>
  <c r="N11" i="6"/>
  <c r="M11"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<sst xmlns="http://schemas.openxmlformats.org/spreadsheetml/2006/main" count="1358" uniqueCount="892">
  <si>
    <t>Supplier ID</t>
  </si>
  <si>
    <t>Supplier Name</t>
  </si>
  <si>
    <t>Supplier Type</t>
  </si>
  <si>
    <t>Packaging Services</t>
  </si>
  <si>
    <t>Testing Services</t>
  </si>
  <si>
    <t>Assembly Services</t>
  </si>
  <si>
    <t>Advanced Packaging Mentioned</t>
  </si>
  <si>
    <t>AI/HPC Mentioned</t>
  </si>
  <si>
    <t>Automotive Mentioned</t>
  </si>
  <si>
    <t>Medical/Defense/Aerospace Mentioned</t>
  </si>
  <si>
    <t>Reliability/Quality Mentioned</t>
  </si>
  <si>
    <t>Certifications Mentioned</t>
  </si>
  <si>
    <t>Key Evidence Quote</t>
  </si>
  <si>
    <t>Source Link</t>
  </si>
  <si>
    <t>Confidence Level</t>
  </si>
  <si>
    <t>Notes</t>
  </si>
  <si>
    <t>SUP-001</t>
  </si>
  <si>
    <t>ASE Technology / ASE Group</t>
  </si>
  <si>
    <t>Full-Service OSAT</t>
  </si>
  <si>
    <t>Yes - broad IC packaging portfolio</t>
  </si>
  <si>
    <t>Yes - wafer probing, final test and system-level test</t>
  </si>
  <si>
    <t>Yes</t>
  </si>
  <si>
    <t>Yes - advanced packaging / SiP / 2.5D-3D sources reviewed</t>
  </si>
  <si>
    <t>Yes - AI and HPC mentioned in ASE/industry sources</t>
  </si>
  <si>
    <t>Not found in reviewed source</t>
  </si>
  <si>
    <t>Yes - quality/reliability discussed across service pages</t>
  </si>
  <si>
    <t>Not verified in reviewed source</t>
  </si>
  <si>
    <t>ASE provides a complete range of semiconductor test services.</t>
  </si>
  <si>
    <t>https://ase.aseglobal.com/test-services/; https://www.semi.org/en/resources/member-directory/advanced-semiconductor-engineering-inc-ase</t>
  </si>
  <si>
    <t>High</t>
  </si>
  <si>
    <t>Strategic Role in Model (analysis): global full-service OSAT benchmark.</t>
  </si>
  <si>
    <t>SUP-002</t>
  </si>
  <si>
    <t>JCET Group</t>
  </si>
  <si>
    <t>Yes - package design, wafer bumping, package assembly</t>
  </si>
  <si>
    <t>Yes - wafer probe and final test</t>
  </si>
  <si>
    <t>Yes - wafer level packaging, 2.5D/3D, SiP, flip chip mentioned</t>
  </si>
  <si>
    <t>Yes - automotive applications mentioned</t>
  </si>
  <si>
    <t>Yes - reliability referenced through reliable flip chip / automotive-grade context</t>
  </si>
  <si>
    <t>Turnkey services include wafer probe, wafer bumping, package assembly, final test.</t>
  </si>
  <si>
    <t>https://www.jccief.org.cn/v-1-15568.aspx; https://www.prnewswire.com/apac/news-releases/jcet-releases-2024-annual-report-achieves-record-high-revenue-302433004.html</t>
  </si>
  <si>
    <t>Strategic Role in Model (analysis): China full-service scale comparator.</t>
  </si>
  <si>
    <t>SUP-003</t>
  </si>
  <si>
    <t>Huatian Technology / HT-Tech</t>
  </si>
  <si>
    <t>Advanced Packaging OSAT</t>
  </si>
  <si>
    <t>Yes - integrated circuit packaging and testing</t>
  </si>
  <si>
    <t>Yes - Chiplet, 2.5D, FOPLP, FCBGA and SiP mentioned</t>
  </si>
  <si>
    <t>Not found in reviewed 2024 annual summary</t>
  </si>
  <si>
    <t>Yes - automotive electronics / automotive grade mentioned</t>
  </si>
  <si>
    <t>Yes - quality bottom line mentioned in annual summary</t>
  </si>
  <si>
    <t>2024 summary mentions 2.5D line, FOPLP customer certification, automotive Grade 0 and FCBGA.</t>
  </si>
  <si>
    <t>https://static.cninfo.com.cn/finalpage/2025-04-01/1222975785.PDF</t>
  </si>
  <si>
    <t>Medium</t>
  </si>
  <si>
    <t>Chinese-language annual summary was used; manual translation/annual-report verification recommended. Strategic Role in Model (analysis): China advanced-packaging capacity case.</t>
  </si>
  <si>
    <t>SUP-004</t>
  </si>
  <si>
    <t>Amkor Technology</t>
  </si>
  <si>
    <t>Yes - advanced and mainstream packaging</t>
  </si>
  <si>
    <t>Yes - test services</t>
  </si>
  <si>
    <t>Yes - advanced SiP, flip chip, wafer-level processing</t>
  </si>
  <si>
    <t>Yes - artificial intelligence listed in served markets</t>
  </si>
  <si>
    <t>Not prominent in reviewed source</t>
  </si>
  <si>
    <t>Yes - automotive quality systems and QualityFIRST</t>
  </si>
  <si>
    <t>Yes - IATF 16949 and other factory certifications listed</t>
  </si>
  <si>
    <t>Amkor provides turnkey manufacturing services for communication, computing, automotive and industrial and consumer markets, including artificial intelligence.</t>
  </si>
  <si>
    <t>https://www.sec.gov/Archives/edgar/data/1047127/000104712725000030/amkr-20241231.htm; https://amkor.com/quality-management/</t>
  </si>
  <si>
    <t>Strategic Role in Model (analysis): U.S.-headquartered global full-service benchmark.</t>
  </si>
  <si>
    <t>SUP-005</t>
  </si>
  <si>
    <t>Tongfu Microelectronics / TFME</t>
  </si>
  <si>
    <t>Yes - Bumping, WLCSP, FC, BGA, SiP and traditional packages</t>
  </si>
  <si>
    <t>Yes - wafer-level testing, finished product testing, system-level testing</t>
  </si>
  <si>
    <t>Yes - 2.5D/3D, wafer-level and flip-chip capabilities mentioned</t>
  </si>
  <si>
    <t>Yes - AI and high-performance computing mentioned</t>
  </si>
  <si>
    <t>Yes - automotive electronics mentioned</t>
  </si>
  <si>
    <t>Yes - quality section and quality certificates page exist</t>
  </si>
  <si>
    <t>Mentioned as quality certificates page; specific certifications need manual extraction</t>
  </si>
  <si>
    <t>One-stop service encompassing design simulation, wafer-level testing, packaging, finished product testing, and system-level testing.</t>
  </si>
  <si>
    <t>https://en.tfme.com/; https://en.tfme.com/news/400.html</t>
  </si>
  <si>
    <t>Strategic Role in Model (analysis): AMD-linked advanced packaging and China/Malaysia diversification case.</t>
  </si>
  <si>
    <t>SUP-006</t>
  </si>
  <si>
    <t>Micross</t>
  </si>
  <si>
    <t>High-Reliability / Specialty OSAT</t>
  </si>
  <si>
    <t>Yes - custom packaging, assembly, advanced interconnect and hi-rel products</t>
  </si>
  <si>
    <t>Yes - electrical and environmental testing; reliability and qualification</t>
  </si>
  <si>
    <t>Yes - advanced 3D heterogeneous integration mentioned</t>
  </si>
  <si>
    <t>Yes - automotive mentioned in acquired Integra/high-rel market context</t>
  </si>
  <si>
    <t>Yes - aerospace, defense, space and medical are core markets</t>
  </si>
  <si>
    <t>Yes - hi-reliability and quality emphasized</t>
  </si>
  <si>
    <t>Yes - AS9100, ISO9001, ANSI ESD S20.20, NADCAP mentioned</t>
  </si>
  <si>
    <t>Micross has 17 world class manufacturing operations with AS9100 &amp; ISO9001 certifications.</t>
  </si>
  <si>
    <t>https://www.micross.com/about-us/facilities-and-locations; https://www.micross.com/about-us/news-and-info/press-releases/micross-announces-combination-and-relocation-of-cms-facility</t>
  </si>
  <si>
    <t>Strategic Role in Model (analysis): specialty high-reliability/onshore OSAT comparator, not directly comparable by revenue scale.</t>
  </si>
  <si>
    <t>SUP-007</t>
  </si>
  <si>
    <t>Powertech Technology / PTI</t>
  </si>
  <si>
    <t>Testing-Focused Backend Supplier</t>
  </si>
  <si>
    <t>Yes - IC assembly and packaging</t>
  </si>
  <si>
    <t>Yes - chip probing, final testing, burn-in, system-level assembly</t>
  </si>
  <si>
    <t>Yes - chip bumping and fan-out panel-level packaging mentioned</t>
  </si>
  <si>
    <t>Yes - Japan base to serve automotive electronics and IoT market</t>
  </si>
  <si>
    <t>Yes - world-leading memory packaging/testing quality context</t>
  </si>
  <si>
    <t>Services include chip bumping, chip probing, IC assembly, final testing, burn in, and system level assembly.</t>
  </si>
  <si>
    <t>https://www.pti.com.tw/en/about/about</t>
  </si>
  <si>
    <t>Strategic Role in Model (analysis): memory packaging/testing and test-heavy backend benchmark.</t>
  </si>
  <si>
    <t>SUP-008</t>
  </si>
  <si>
    <t>UTAC</t>
  </si>
  <si>
    <t>Regional OSAT / Diversification Supplier</t>
  </si>
  <si>
    <t>Yes - advanced semiconductor packaging</t>
  </si>
  <si>
    <t>Yes - testing solutions</t>
  </si>
  <si>
    <t>Yes - assembly and test services</t>
  </si>
  <si>
    <t>Yes - advanced packaging and wafer bumping referenced</t>
  </si>
  <si>
    <t>Yes - AI, computing and automotive mentioned</t>
  </si>
  <si>
    <t>Yes - industrial and medical applications mentioned in SEMI/LinkedIn profile</t>
  </si>
  <si>
    <t>Yes - quality management page</t>
  </si>
  <si>
    <t>Yes - IATF 16949, ISO 9001, ISO 26262, ISO 45001, ISO 14001 listed</t>
  </si>
  <si>
    <t>UTAC delivers advanced semiconductor packaging and testing solutions from strategic locations in Singapore, Thailand, Indonesia, and China.</t>
  </si>
  <si>
    <t>https://utacgroup.com/; https://utacgroup.com/quality-management/; https://www.semi.org/en/resources/member-directory/utac-headquarters-pte-ltd</t>
  </si>
  <si>
    <t>Strategic Role in Model (analysis): Southeast Asia/China diversification supplier; private financials unavailable.</t>
  </si>
  <si>
    <t>SUP-009</t>
  </si>
  <si>
    <t>Hana Micron</t>
  </si>
  <si>
    <t>Yes - package services include flip chip, laminate, lead frame and wafer level</t>
  </si>
  <si>
    <t>Yes - wafer, package and module test</t>
  </si>
  <si>
    <t>Yes - bumping/RDL and future solution pages; AI/HPC needs English verification</t>
  </si>
  <si>
    <t>Yes - AI/HPC mentioned on public company site/news, but English verification recommended</t>
  </si>
  <si>
    <t>Not found in reviewed English source</t>
  </si>
  <si>
    <t>Yes - reliability and quality management pages listed</t>
  </si>
  <si>
    <t>Quality Certifications page exists; specific certifications not extracted</t>
  </si>
  <si>
    <t>HANA Micron lists Bump, Package, Test and Engineering Solution including Reliability.</t>
  </si>
  <si>
    <t>https://hanamicron.com/eng/index.do</t>
  </si>
  <si>
    <t>Strategic Role in Model (analysis): Korea/Vietnam diversification supplier; revenue field needs DART verification.</t>
  </si>
  <si>
    <t>SUP-010</t>
  </si>
  <si>
    <t>King Yuan Electronics / KYEC</t>
  </si>
  <si>
    <t>Yes - assembly service mentioned but test-focused</t>
  </si>
  <si>
    <t>Yes - wafer probing, final product test, burn-in and SLT</t>
  </si>
  <si>
    <t>Advanced process products mentioned; advanced packaging not the primary public positioning</t>
  </si>
  <si>
    <t>Yes - AI/HPC products mentioned in 2025 AGM minutes and Singapore facility release</t>
  </si>
  <si>
    <t>Yes - Singapore facility release cites automotive demand</t>
  </si>
  <si>
    <t>Yes - testing/reliability implied; specific reliability source should be verified</t>
  </si>
  <si>
    <t>KYEC provides wafer probing, final product test and assembly service for the semiconductor backend supply chain.</t>
  </si>
  <si>
    <t>https://www.kyec.com.tw/en/About; https://www.edb.gov.sg/en/about-edb/media-releases-publications/kyec-opens-singapore-facility-marking-global-expansion.html</t>
  </si>
  <si>
    <t>Strategic Role in Model (analysis): pure-play test benchmark; Singapore manufacturing is a 2026 development, not 2024 revenue driver.</t>
  </si>
  <si>
    <t>HQ Country</t>
  </si>
  <si>
    <t>Founded Year</t>
  </si>
  <si>
    <t>Public or Private</t>
  </si>
  <si>
    <t>Stock Ticker</t>
  </si>
  <si>
    <t>2024 Revenue</t>
  </si>
  <si>
    <t>Revenue Currency</t>
  </si>
  <si>
    <t>Employee Count</t>
  </si>
  <si>
    <t>Main Operating Regions</t>
  </si>
  <si>
    <t>Manufacturing Countries</t>
  </si>
  <si>
    <t>U.S. Presence</t>
  </si>
  <si>
    <t>Southeast Asia Presence</t>
  </si>
  <si>
    <t>China Exposure</t>
  </si>
  <si>
    <t>Source Type</t>
  </si>
  <si>
    <t>Taiwan</t>
  </si>
  <si>
    <t>Public</t>
  </si>
  <si>
    <t>TWSE:3711; NYSE:ASX</t>
  </si>
  <si>
    <t>595,410 million</t>
  </si>
  <si>
    <t>TWD</t>
  </si>
  <si>
    <t>Over 95,000</t>
  </si>
  <si>
    <t>Global: Asia, North America, Europe, North Africa</t>
  </si>
  <si>
    <t>Taiwan; China; South Korea; Japan; Singapore; Malaysia; Vietnam; Mexico; United States; Poland; France; United Kingdom; Germany; Tunisia; Czech Republic</t>
  </si>
  <si>
    <t>Yes - U.S. presence listed by ASE Holdings; packaging-specific scope should be verified</t>
  </si>
  <si>
    <t>Yes - Singapore; Malaysia; Vietnam</t>
  </si>
  <si>
    <t>High - China manufacturing footprint plus Taiwan concentration</t>
  </si>
  <si>
    <t>Company press release; Official company website</t>
  </si>
  <si>
    <t>Strategic Role in Model (analysis): global scale benchmark and Taiwan/China exposure anchor. Revenue includes EMS as well as packaging/test.</t>
  </si>
  <si>
    <t>China</t>
  </si>
  <si>
    <t>SSE:600584</t>
  </si>
  <si>
    <t>35.96 billion</t>
  </si>
  <si>
    <t>CNY</t>
  </si>
  <si>
    <t>Not publicly available in reviewed English annual-release sources</t>
  </si>
  <si>
    <t>China; Singapore; South Korea; global sales network</t>
  </si>
  <si>
    <t>China; Singapore; South Korea</t>
  </si>
  <si>
    <t>Not publicly available in reviewed sources; global sales network mentioned</t>
  </si>
  <si>
    <t>Yes - Singapore</t>
  </si>
  <si>
    <t>High - China headquartered with major China manufacturing base</t>
  </si>
  <si>
    <t>Company press release; Stock exchange annual report page</t>
  </si>
  <si>
    <t>Strategic Role in Model (analysis): largest mainland China OSAT/global top-tier comparator. Current employee count needs manual annual-report verification.</t>
  </si>
  <si>
    <t>SZSE:002185</t>
  </si>
  <si>
    <t>14.462 billion</t>
  </si>
  <si>
    <t>Not publicly available in reviewed source</t>
  </si>
  <si>
    <t>China; Malaysia; global customers</t>
  </si>
  <si>
    <t>China; Malaysia via Unisem; United States/FlipChip current operating scope requires verification</t>
  </si>
  <si>
    <t>Assumption required - U.S. FlipChip/FCI history found, current scope needs verification</t>
  </si>
  <si>
    <t>Yes - Malaysia via Unisem</t>
  </si>
  <si>
    <t>High - China headquartered and China operating base</t>
  </si>
  <si>
    <t>Official annual report summary; Subsidiary/affiliate annual report page</t>
  </si>
  <si>
    <t>Strategic Role in Model (analysis): China advanced-packaging capacity and ASEAN diversification via Unisem. Revenue translated from CNY 144.62 hundred million yuan.</t>
  </si>
  <si>
    <t>United States</t>
  </si>
  <si>
    <t>Nasdaq:AMKR</t>
  </si>
  <si>
    <t>6,317.692 million</t>
  </si>
  <si>
    <t>USD</t>
  </si>
  <si>
    <t>More than 30,000</t>
  </si>
  <si>
    <t>Asia; Europe; United States customer/support network</t>
  </si>
  <si>
    <t>South Korea; Philippines; Taiwan; China; Malaysia; Portugal; Japan; Vietnam</t>
  </si>
  <si>
    <t>Yes - U.S. headquartered; customer support/HQ in U.S.; manufacturing footprint primarily Asia/Europe in reviewed sources</t>
  </si>
  <si>
    <t>Yes - Philippines; Malaysia; Vietnam</t>
  </si>
  <si>
    <t>Medium - China presence but diversified across Asia and Europe</t>
  </si>
  <si>
    <t>SEC XBRL; Official company website</t>
  </si>
  <si>
    <t>Strategic Role in Model (analysis): U.S.-headquartered global OSAT benchmark and diversification reference.</t>
  </si>
  <si>
    <t>SZSE:002156</t>
  </si>
  <si>
    <t>23.882 billion</t>
  </si>
  <si>
    <t>Not publicly available as total; official website lists 7000+ technical management team</t>
  </si>
  <si>
    <t>China; Malaysia (Penang joint venture)</t>
  </si>
  <si>
    <t>No direct U.S. manufacturing found; significant U.S. customer/partner exposure through AMD</t>
  </si>
  <si>
    <t>Yes - Malaysia/Penang</t>
  </si>
  <si>
    <t>High - China headquartered with China manufacturing base</t>
  </si>
  <si>
    <t>Official annual report summary; Official company website</t>
  </si>
  <si>
    <t>Strategic Role in Model (analysis): AMD-linked advanced packaging and China/Malaysia diversification case. Revenue translated from CNY 238.82 hundred million yuan.</t>
  </si>
  <si>
    <t>1978 (third-party); official source states 45+ year heritage</t>
  </si>
  <si>
    <t>Private</t>
  </si>
  <si>
    <t>Not publicly traded</t>
  </si>
  <si>
    <t>Not publicly available</t>
  </si>
  <si>
    <t>Not publicly available (third-party LinkedIn range 501-1,000 not used as official count)</t>
  </si>
  <si>
    <t>North America; Europe</t>
  </si>
  <si>
    <t>United States; Mexico; United Kingdom; Denmark</t>
  </si>
  <si>
    <t>Yes - multiple U.S. facilities including Apopka FL, Wichita KS, Milpitas CA and others</t>
  </si>
  <si>
    <t>Not publicly available / no Southeast Asia manufacturing found in reviewed sources</t>
  </si>
  <si>
    <t>Low - U.S./Europe/Mexico focused; upstream component sourcing still needs verification</t>
  </si>
  <si>
    <t>Official company website; Company news page</t>
  </si>
  <si>
    <t>Strategic Role in Model (analysis): onshore/high-reliability specialty OSAT comparator for aerospace, defense, space and medical markets. Private financials unavailable.</t>
  </si>
  <si>
    <t>TWSE:6239</t>
  </si>
  <si>
    <t>73,315 million</t>
  </si>
  <si>
    <t>Over 18,000</t>
  </si>
  <si>
    <t>Taiwan; China; Japan; international customers</t>
  </si>
  <si>
    <t>Taiwan; China; Japan</t>
  </si>
  <si>
    <t>Not publicly available in current official profile</t>
  </si>
  <si>
    <t>Medium - China manufacturing plus Taiwan base</t>
  </si>
  <si>
    <t>Official company revenue release; Official company website</t>
  </si>
  <si>
    <t>Strategic Role in Model (analysis): memory packaging/testing and backend test scale benchmark.</t>
  </si>
  <si>
    <t>Singapore</t>
  </si>
  <si>
    <t>Not publicly available in official source reviewed</t>
  </si>
  <si>
    <t>Southeast Asia; China; global sales network</t>
  </si>
  <si>
    <t>Singapore; Thailand; Indonesia; China</t>
  </si>
  <si>
    <t>Sales network includes United States; no U.S. manufacturing found in reviewed sources</t>
  </si>
  <si>
    <t>Yes - Singapore; Thailand; Indonesia</t>
  </si>
  <si>
    <t>Medium - China facility with diversified Southeast Asia footprint</t>
  </si>
  <si>
    <t>Official company website; SEMI member directory</t>
  </si>
  <si>
    <t>Strategic Role in Model (analysis): Southeast Asia diversification supplier. Private revenue and employee count unavailable.</t>
  </si>
  <si>
    <t>South Korea</t>
  </si>
  <si>
    <t>KOSDAQ:067310</t>
  </si>
  <si>
    <t>1.25 trillion (third-party finance source; manual DART verification required)</t>
  </si>
  <si>
    <t>KRW</t>
  </si>
  <si>
    <t>South Korea; Vietnam; Brazil; USA sales/global network</t>
  </si>
  <si>
    <t>South Korea; Vietnam; Brazil</t>
  </si>
  <si>
    <t>Yes - official global network lists USA; manufacturing not verified</t>
  </si>
  <si>
    <t>Yes - Vietnam</t>
  </si>
  <si>
    <t>Low/Not directly evidenced in current official source; older sources mention China offices only</t>
  </si>
  <si>
    <t>Official company website; Reputable finance aggregator</t>
  </si>
  <si>
    <t>Strategic Role in Model (analysis): Korea/Vietnam diversification and memory/backend growth supplier. 2024 revenue requires manual verification from Korean DART/annual filing.</t>
  </si>
  <si>
    <t>TWSE:2449</t>
  </si>
  <si>
    <t>26.856 billion</t>
  </si>
  <si>
    <t>Not publicly available in annual report excerpt reviewed</t>
  </si>
  <si>
    <t>Taiwan; North America/Japan/Singapore regional offices; Singapore manufacturing from 2026</t>
  </si>
  <si>
    <t>Taiwan; Singapore (facility commenced 2026); China exposure reduced after Suzhou sale</t>
  </si>
  <si>
    <t>Regional office in North America; no U.S. manufacturing found</t>
  </si>
  <si>
    <t>Yes - Singapore office; Singapore test facility opened in 2026</t>
  </si>
  <si>
    <t>Low/Medium - China subsidiary sale in 2024 reduced exposure; residual exposure needs verification</t>
  </si>
  <si>
    <t>Official annual report; Official company website; Government economic development agency release</t>
  </si>
  <si>
    <t>Strategic Role in Model (analysis): pure-play semiconductor test benchmark and Taiwan-to-Singapore diversification case.</t>
  </si>
  <si>
    <t>Country</t>
  </si>
  <si>
    <t>Logistics Performance Indicator</t>
  </si>
  <si>
    <t>Political Stability Indicator</t>
  </si>
  <si>
    <t>Rule of Law Indicator</t>
  </si>
  <si>
    <t>Regulatory Quality Indicator</t>
  </si>
  <si>
    <t>Corruption/Compliance Indicator</t>
  </si>
  <si>
    <t>Tariff/Trade Exposure Notes</t>
  </si>
  <si>
    <t>Geopolitical Risk Notes</t>
  </si>
  <si>
    <t>Semiconductor Policy Notes</t>
  </si>
  <si>
    <t>Source Links</t>
  </si>
  <si>
    <t>Not publicly available in World Bank LPI extract</t>
  </si>
  <si>
    <t>Not publicly available in WGI extract</t>
  </si>
  <si>
    <t>TI CPI 2025: 68/100, rank 24/182</t>
  </si>
  <si>
    <t>Manual tariff/customs verification required; semiconductor tariff policy can change quickly</t>
  </si>
  <si>
    <t>High cross-Strait geopolitical risk and concentration risk</t>
  </si>
  <si>
    <t>Core global semiconductor/APT hub; diversification policy debate is active</t>
  </si>
  <si>
    <t>World Bank WGI/LPI gaps should not be treated as low risk.</t>
  </si>
  <si>
    <t>World Bank LPI latest non-null: 3.7 (2022)</t>
  </si>
  <si>
    <t>WGI 2024 Political Stability score: 63.28</t>
  </si>
  <si>
    <t>WGI 2024 Rule of Law score: 46.99</t>
  </si>
  <si>
    <t>WGI 2024 Regulatory Quality score: 53.74</t>
  </si>
  <si>
    <t>TI CPI 2025: 43/100, rank 76/182; WGI Control of Corruption: 49.65</t>
  </si>
  <si>
    <t>High exposure to U.S. tariffs, export controls, Entity List and technology restrictions</t>
  </si>
  <si>
    <t>High U.S.-China technology/geopolitical risk</t>
  </si>
  <si>
    <t>State-led semiconductor localization and advanced-node restrictions shape sourcing risk</t>
  </si>
  <si>
    <t>Use for high China-exposure supplier sensitivity.</t>
  </si>
  <si>
    <t>World Bank LPI latest non-null: 3.8 (2022)</t>
  </si>
  <si>
    <t>WGI 2024 Political Stability score: 64.27</t>
  </si>
  <si>
    <t>WGI 2024 Rule of Law score: 73.52</t>
  </si>
  <si>
    <t>WGI 2024 Regulatory Quality score: 76.19</t>
  </si>
  <si>
    <t>TI CPI 2025: 64/100, rank 29/182; WGI Control of Corruption: 69.86</t>
  </si>
  <si>
    <t>Export controls and sanctions are material for semiconductor sales into restricted destinations</t>
  </si>
  <si>
    <t>Low domestic conflict risk, but policy/tariff volatility can be high</t>
  </si>
  <si>
    <t>CHIPS for America supports domestic semiconductor manufacturing and R&amp;D</t>
  </si>
  <si>
    <t>Important for onshoring and high-reliability supplier comparison.</t>
  </si>
  <si>
    <t>World Bank LPI latest non-null: 4.3 (2022)</t>
  </si>
  <si>
    <t>WGI 2024 Political Stability score: 86.94</t>
  </si>
  <si>
    <t>WGI 2024 Rule of Law score: 81.60</t>
  </si>
  <si>
    <t>WGI 2024 Regulatory Quality score: 88.49</t>
  </si>
  <si>
    <t>TI CPI 2025: 84/100, rank 3/182; WGI Control of Corruption: 87.69</t>
  </si>
  <si>
    <t>Generally strong trade/logistics hub; verify end-use controls for China-related shipments</t>
  </si>
  <si>
    <t>Low domestic geopolitical risk; exposed to regional trade shocks</t>
  </si>
  <si>
    <t>Policy environment supports electronics/semiconductor hub role</t>
  </si>
  <si>
    <t>Strong diversification country for Southeast Asia footprint.</t>
  </si>
  <si>
    <t>WGI 2024 Political Stability score: 76.82</t>
  </si>
  <si>
    <t>WGI 2024 Rule of Law score: 76.20</t>
  </si>
  <si>
    <t>WGI 2024 Regulatory Quality score: 70.85</t>
  </si>
  <si>
    <t>TI CPI 2025: 63/100, rank 31/182; WGI Control of Corruption: 65.05</t>
  </si>
  <si>
    <t>Trade exposure tied to U.S.-China export controls and China end-market reliance</t>
  </si>
  <si>
    <t>North Korea and regional security risks; major allied semiconductor ecosystem</t>
  </si>
  <si>
    <t>National semiconductor policy and memory/advanced packaging investments are strategic</t>
  </si>
  <si>
    <t>Use as Korea/Vietnam supplier base reference.</t>
  </si>
  <si>
    <t>Vietnam</t>
  </si>
  <si>
    <t>World Bank LPI latest non-null: 3.3 (2022)</t>
  </si>
  <si>
    <t>WGI 2024 Political Stability score: 65.99</t>
  </si>
  <si>
    <t>WGI 2024 Rule of Law score: 51.56</t>
  </si>
  <si>
    <t>WGI 2024 Regulatory Quality score: 50.65</t>
  </si>
  <si>
    <t>TI CPI 2025: 41/100, rank 81/182; WGI Control of Corruption: 42.76</t>
  </si>
  <si>
    <t>Export-oriented manufacturing; verify U.S. trade remedy and rules-of-origin exposure</t>
  </si>
  <si>
    <t>Moderate regional geopolitical risk, including South China Sea tension</t>
  </si>
  <si>
    <t>Government is promoting semiconductor talent and assembly/test investment</t>
  </si>
  <si>
    <t>Useful diversification destination but compliance maturity should be checked.</t>
  </si>
  <si>
    <t>Malaysia</t>
  </si>
  <si>
    <t>World Bank LPI latest non-null: 3.6 (2022)</t>
  </si>
  <si>
    <t>WGI 2024 Political Stability score: 72.47</t>
  </si>
  <si>
    <t>WGI 2024 Rule of Law score: 62.90</t>
  </si>
  <si>
    <t>WGI 2024 Regulatory Quality score: 65.59</t>
  </si>
  <si>
    <t>TI CPI 2025: 52/100, rank 54/182; WGI Control of Corruption: 57.94</t>
  </si>
  <si>
    <t>Generally favorable OSAT hub; verify China-transshipment and export-control compliance</t>
  </si>
  <si>
    <t>Moderate political/geopolitical risk</t>
  </si>
  <si>
    <t>National Semiconductor Strategy and long OSAT base support packaging/test role</t>
  </si>
  <si>
    <t>Important for Unisem, Amkor, TFME and ASE exposure.</t>
  </si>
  <si>
    <t>Philippines</t>
  </si>
  <si>
    <t>WGI 2024 Political Stability score: 52.67</t>
  </si>
  <si>
    <t>WGI 2024 Rule of Law score: 47.09</t>
  </si>
  <si>
    <t>WGI 2024 Regulatory Quality score: 56.11</t>
  </si>
  <si>
    <t>TI CPI 2025: 32/100, rank 120/182; WGI Control of Corruption: 36.18</t>
  </si>
  <si>
    <t>U.S./ASEAN trade access but island logistics and customs complexity need validation</t>
  </si>
  <si>
    <t>South China Sea and domestic governance risks</t>
  </si>
  <si>
    <t>Established electronics assembly/test base; policy support varies by zone</t>
  </si>
  <si>
    <t>Relevant for Amkor Philippines footprint.</t>
  </si>
  <si>
    <t>Thailand</t>
  </si>
  <si>
    <t>World Bank LPI latest non-null: 3.5 (2022)</t>
  </si>
  <si>
    <t>WGI 2024 Political Stability score: 54.22</t>
  </si>
  <si>
    <t>WGI 2024 Rule of Law score: 53.26</t>
  </si>
  <si>
    <t>WGI 2024 Regulatory Quality score: 56.54</t>
  </si>
  <si>
    <t>TI CPI 2025: 33/100, rank 116/182; WGI Control of Corruption: 37.18</t>
  </si>
  <si>
    <t>Moderate tariff/trade exposure; check ASEAN origin and customer export-control requirements</t>
  </si>
  <si>
    <t>Domestic political risk and regional dependency risk</t>
  </si>
  <si>
    <t>Electronics/automotive industrial base supports semiconductor assembly/test adjacencies</t>
  </si>
  <si>
    <t>Relevant for UTAC footprint.</t>
  </si>
  <si>
    <t>Japan</t>
  </si>
  <si>
    <t>World Bank LPI latest non-null: 3.9 (2022)</t>
  </si>
  <si>
    <t>WGI 2024 Political Stability score: 85.27</t>
  </si>
  <si>
    <t>WGI 2024 Rule of Law score: 82.98</t>
  </si>
  <si>
    <t>WGI 2024 Regulatory Quality score: 75.83</t>
  </si>
  <si>
    <t>TI CPI 2025: 71/100, rank 18/182; WGI Control of Corruption: 75.32</t>
  </si>
  <si>
    <t>Aligned export-control regime; trade exposure mainly from China market links</t>
  </si>
  <si>
    <t>Low domestic risk; regional China/Taiwan/Korea security exposure</t>
  </si>
  <si>
    <t>Strong semiconductor subsidies, materials/equipment base and advanced packaging initiatives</t>
  </si>
  <si>
    <t>Relevant for Amkor and PTI Japan footprints.</t>
  </si>
  <si>
    <t>Portugal</t>
  </si>
  <si>
    <t>World Bank LPI latest non-null: 3.4 (2022)</t>
  </si>
  <si>
    <t>WGI 2024 Political Stability score: 75.07</t>
  </si>
  <si>
    <t>WGI 2024 Rule of Law score: 75.42</t>
  </si>
  <si>
    <t>WGI 2024 Regulatory Quality score: 66.54</t>
  </si>
  <si>
    <t>TI CPI 2025: 56/100, rank 46/182; WGI Control of Corruption: 64.54</t>
  </si>
  <si>
    <t>EU customs/export-control regime; lower direct tariff friction for EU supply</t>
  </si>
  <si>
    <t>Low geopolitical risk</t>
  </si>
  <si>
    <t>EU Chips Act and European automotive electronics ecosystem are relevant</t>
  </si>
  <si>
    <t>Relevant for Amkor Portugal/European diversification.</t>
  </si>
  <si>
    <t>Mexico</t>
  </si>
  <si>
    <t>World Bank LPI latest non-null: 2.9 (2022)</t>
  </si>
  <si>
    <t>WGI 2024 Political Stability score: 53.67</t>
  </si>
  <si>
    <t>WGI 2024 Rule of Law score: 37.11</t>
  </si>
  <si>
    <t>WGI 2024 Regulatory Quality score: 51.77</t>
  </si>
  <si>
    <t>TI CPI 2025: 27/100, rank 141/182; WGI Control of Corruption: 28.81</t>
  </si>
  <si>
    <t>USMCA can be advantageous, but customs, security and compliance due diligence are important</t>
  </si>
  <si>
    <t>Security and rule-of-law risks are material for logistics/site operations</t>
  </si>
  <si>
    <t>Nearshoring electronics role; advanced OSAT policy support needs site-level verification</t>
  </si>
  <si>
    <t>Relevant for Micross Mexico exposure and North American resilience.</t>
  </si>
  <si>
    <t>Indonesia</t>
  </si>
  <si>
    <t>World Bank LPI latest non-null: 3.0 (2022)</t>
  </si>
  <si>
    <t>WGI 2024 Political Stability score: 55.49</t>
  </si>
  <si>
    <t>WGI 2024 Rule of Law score: 53.41</t>
  </si>
  <si>
    <t>WGI 2024 Regulatory Quality score: 56.83</t>
  </si>
  <si>
    <t>TI CPI 2025: 34/100, rank 109/182; WGI Control of Corruption: 36.83</t>
  </si>
  <si>
    <t>Import licensing/local content rules may matter; tariff exposure needs product-level check</t>
  </si>
  <si>
    <t>Moderate geopolitical and regulatory risk</t>
  </si>
  <si>
    <t>Electronics and industrial policy relevant; less advanced OSAT scale than Malaysia/Singapore</t>
  </si>
  <si>
    <t>Relevant for UTAC Indonesia footprint.</t>
  </si>
  <si>
    <t>United Kingdom</t>
  </si>
  <si>
    <t>WGI 2024 Political Stability score: 70.30</t>
  </si>
  <si>
    <t>WGI 2024 Rule of Law score: 78.82</t>
  </si>
  <si>
    <t>WGI 2024 Regulatory Quality score: 78.70</t>
  </si>
  <si>
    <t>TI CPI 2025: 70/100, rank 20/182; WGI Control of Corruption: 78.41</t>
  </si>
  <si>
    <t>Post-Brexit customs checks and export controls need review</t>
  </si>
  <si>
    <t>Low geopolitical risk; policy changes can affect trade friction</t>
  </si>
  <si>
    <t>National semiconductor strategy focuses on strengths such as compound semiconductors</t>
  </si>
  <si>
    <t>Relevant for Micross UK footprint.</t>
  </si>
  <si>
    <t>Denmark</t>
  </si>
  <si>
    <t>World Bank LPI latest non-null: 4.1 (2022)</t>
  </si>
  <si>
    <t>WGI 2024 Political Stability score: 79.03</t>
  </si>
  <si>
    <t>WGI 2024 Rule of Law score: 91.46</t>
  </si>
  <si>
    <t>WGI 2024 Regulatory Quality score: 85.31</t>
  </si>
  <si>
    <t>TI CPI 2025: 89/100, rank 1/182; WGI Control of Corruption: 94.16</t>
  </si>
  <si>
    <t>EU customs/export controls; generally low compliance risk</t>
  </si>
  <si>
    <t>No major OSAT scale found; relevant as specialized Micross facility location</t>
  </si>
  <si>
    <t>Relevant for specialty high-reliability operations rather than broad OSAT capacity.</t>
  </si>
  <si>
    <t>Source ID</t>
  </si>
  <si>
    <t>Supplier</t>
  </si>
  <si>
    <t>Data Field</t>
  </si>
  <si>
    <t>Source Title</t>
  </si>
  <si>
    <t>Source Organization</t>
  </si>
  <si>
    <t>URL</t>
  </si>
  <si>
    <t>Date Published</t>
  </si>
  <si>
    <t>Date Accessed</t>
  </si>
  <si>
    <t>Exact Data Extracted</t>
  </si>
  <si>
    <t>Quote/Evidence</t>
  </si>
  <si>
    <t>S001</t>
  </si>
  <si>
    <t>ASE Technology Holding reports FY2024 results</t>
  </si>
  <si>
    <t>ASE Technology Holding / PRNewswire</t>
  </si>
  <si>
    <t>https://www.prnewswire.com/news-releases/ase-technology-holding-co-ltd-reports-its-unaudited-consolidated-financial-results-for-the-fourth-quarter-and-the-full-year-of-2024-302375540.html</t>
  </si>
  <si>
    <t>Company press release</t>
  </si>
  <si>
    <t>2024 net revenues NT$595,410 million</t>
  </si>
  <si>
    <t>Net revenues for the full year of 2024 amounted to NT$595,410 million.</t>
  </si>
  <si>
    <t>Revenue includes consolidated ASEH, including EMS.</t>
  </si>
  <si>
    <t>S002</t>
  </si>
  <si>
    <t>Profile, founded, employees, countries</t>
  </si>
  <si>
    <t>About ASE Holdings</t>
  </si>
  <si>
    <t>ASE Technology Holding</t>
  </si>
  <si>
    <t>https://www.aseglobal.com/about</t>
  </si>
  <si>
    <t>Official company website</t>
  </si>
  <si>
    <t>Not stated</t>
  </si>
  <si>
    <t>Founded 1984; over 95,000 employees; 15 countries</t>
  </si>
  <si>
    <t>With over 95,000 employees globally... Founded 1984.</t>
  </si>
  <si>
    <t>Manufacturing list broader than OSAT-only operations.</t>
  </si>
  <si>
    <t>S003</t>
  </si>
  <si>
    <t>Annual report availability</t>
  </si>
  <si>
    <t>Annual Reports</t>
  </si>
  <si>
    <t>ASE Technology Holding IR</t>
  </si>
  <si>
    <t>https://ir.aseglobal.com/html/ir_reports.php</t>
  </si>
  <si>
    <t>Investor relations page</t>
  </si>
  <si>
    <t>2024 Annual Report and 2024 Form 20-F available</t>
  </si>
  <si>
    <t>2024 Annual Report; 2024 Form 20-F.</t>
  </si>
  <si>
    <t>Chrome opened and verified this page.</t>
  </si>
  <si>
    <t>S004</t>
  </si>
  <si>
    <t>Testing services</t>
  </si>
  <si>
    <t>Test Services</t>
  </si>
  <si>
    <t>ASE</t>
  </si>
  <si>
    <t>https://ase.aseglobal.com/test-services/</t>
  </si>
  <si>
    <t>Front-end engineering test, wafer probing, final test, SLT</t>
  </si>
  <si>
    <t>Capability evidence.</t>
  </si>
  <si>
    <t>S005</t>
  </si>
  <si>
    <t>JCET Releases 2024 Annual Report</t>
  </si>
  <si>
    <t>JCET Group / PRNewswire</t>
  </si>
  <si>
    <t>https://www.prnewswire.com/apac/news-releases/jcet-releases-2024-annual-report-achieves-record-high-revenue-302433004.html</t>
  </si>
  <si>
    <t>2024 revenue RMB 35.96 billion</t>
  </si>
  <si>
    <t>JCET achieved record-high revenue of RMB 35.96 billion.</t>
  </si>
  <si>
    <t>Annual-release source.</t>
  </si>
  <si>
    <t>S006</t>
  </si>
  <si>
    <t>JCET Group Co., Ltd. -- 2024 Annual Report</t>
  </si>
  <si>
    <t>Shanghai Stock Exchange</t>
  </si>
  <si>
    <t>https://english.sse.com.cn/markets/equities/announcements/detail.shtml?seq%2F2017364%2Fdate%2F20250421=</t>
  </si>
  <si>
    <t>Stock exchange annual report page</t>
  </si>
  <si>
    <t>2024 Annual Report posted</t>
  </si>
  <si>
    <t>2024 Annual Report.</t>
  </si>
  <si>
    <t>Use for manual follow-up.</t>
  </si>
  <si>
    <t>S007</t>
  </si>
  <si>
    <t>Capabilities and countries</t>
  </si>
  <si>
    <t>Jiangsu Changjiang Electronics Technology Co., Ltd profile</t>
  </si>
  <si>
    <t>Jiangsu Import and Export Chamber of Commerce</t>
  </si>
  <si>
    <t>https://www.jccief.org.cn/v-1-15568.aspx</t>
  </si>
  <si>
    <t>Industry/government chamber profile</t>
  </si>
  <si>
    <t>Two R&amp;D centers; six manufacturing locations in China, Singapore and Korea</t>
  </si>
  <si>
    <t>Six manufacturing locations in China, Singapore and Korea.</t>
  </si>
  <si>
    <t>Not company-owned, but points to JCET global site.</t>
  </si>
  <si>
    <t>S008</t>
  </si>
  <si>
    <t>2024 Revenue and advanced packaging</t>
  </si>
  <si>
    <t>2024 Annual Report Summary</t>
  </si>
  <si>
    <t>CNINFO</t>
  </si>
  <si>
    <t>Official annual report summary</t>
  </si>
  <si>
    <t>2024 operating revenue CNY 14.462 billion; 2.5D, FOPLP, automotive Grade 0, FCBGA mentioned</t>
  </si>
  <si>
    <t>Completed operating revenue of 144.62 hundred million yuan.</t>
  </si>
  <si>
    <t>Chinese-language source; translated fields.</t>
  </si>
  <si>
    <t>S009</t>
  </si>
  <si>
    <t>Company profile</t>
  </si>
  <si>
    <t>Tianshui Huatian Technology Co., Ltd. profile</t>
  </si>
  <si>
    <t>https://static.cninfo.com.cn/finalpage/enpage/002185_2.pdf</t>
  </si>
  <si>
    <t>Official exchange/profile PDF</t>
  </si>
  <si>
    <t>Updated 2023-08-30</t>
  </si>
  <si>
    <t>Founded 12/25/2003; code 002185</t>
  </si>
  <si>
    <t>Founded 12/25/2003.</t>
  </si>
  <si>
    <t>Profile page predates 2024 but useful for static fields.</t>
  </si>
  <si>
    <t>S010</t>
  </si>
  <si>
    <t>Malaysia footprint</t>
  </si>
  <si>
    <t>Annual Report 2024</t>
  </si>
  <si>
    <t>Unisem Group</t>
  </si>
  <si>
    <t>https://www.unisemgroup.com/investor-relations/annual-reports/annual-report-2024/</t>
  </si>
  <si>
    <t>Subsidiary/affiliate annual report page</t>
  </si>
  <si>
    <t>2025-03</t>
  </si>
  <si>
    <t>Unisem Ipoh Malaysia and Chengdu China OSAT operations</t>
  </si>
  <si>
    <t>Unisem Ipoh is ... assembly and test operations located in Malaysia.</t>
  </si>
  <si>
    <t>Used to support Huatian/Unisem footprint; ownership verification still recommended.</t>
  </si>
  <si>
    <t>S011</t>
  </si>
  <si>
    <t>SEC companyfacts CIK0001047127</t>
  </si>
  <si>
    <t>SEC</t>
  </si>
  <si>
    <t>https://data.sec.gov/api/xbrl/companyfacts/CIK0001047127.json</t>
  </si>
  <si>
    <t>SEC XBRL API</t>
  </si>
  <si>
    <t>FY2024 revenue from contracts USD 6,317,692,000</t>
  </si>
  <si>
    <t>RevenueFromContractWithCustomerExcludingAssessedTax = 6317692000.</t>
  </si>
  <si>
    <t>Machine-readable SEC fact.</t>
  </si>
  <si>
    <t>S012</t>
  </si>
  <si>
    <t>Founded, employees, locations</t>
  </si>
  <si>
    <t>Company History</t>
  </si>
  <si>
    <t>https://amkor.com/company-history/</t>
  </si>
  <si>
    <t>Founded 1968; more than 30,000 employees; 20 manufacturing locations in 11 countries</t>
  </si>
  <si>
    <t>More than 30,000 employees at 20 manufacturing locations in 11 countries.</t>
  </si>
  <si>
    <t>Current profile page.</t>
  </si>
  <si>
    <t>S013</t>
  </si>
  <si>
    <t>Quality/certifications</t>
  </si>
  <si>
    <t>Quality Policy</t>
  </si>
  <si>
    <t>https://amkor.com/quality-management/</t>
  </si>
  <si>
    <t>IATF 16949 and other factory certifications; automotive quality systems</t>
  </si>
  <si>
    <t>IATF 16949; Automotive Quality.</t>
  </si>
  <si>
    <t>Certification evidence.</t>
  </si>
  <si>
    <t>S014</t>
  </si>
  <si>
    <t>https://static.cninfo.com.cn/finalpage/2025-04-12/1223070263.PDF</t>
  </si>
  <si>
    <t>2024 operating revenue CNY 23.882 billion</t>
  </si>
  <si>
    <t>2024 revenue 238.82 hundred million yuan.</t>
  </si>
  <si>
    <t>Chinese-language source; translated field.</t>
  </si>
  <si>
    <t>S015</t>
  </si>
  <si>
    <t>Profile and capabilities</t>
  </si>
  <si>
    <t>Tongfu Microelectronics English homepage</t>
  </si>
  <si>
    <t>TFME</t>
  </si>
  <si>
    <t>https://en.tfme.com/</t>
  </si>
  <si>
    <t>Founded 1997; 7 production bases; one-stop design, wafer testing, packaging and system-level testing</t>
  </si>
  <si>
    <t>Homepage source.</t>
  </si>
  <si>
    <t>S016</t>
  </si>
  <si>
    <t>AMD/Malaysia exposure</t>
  </si>
  <si>
    <t>Tongfu and AMD transaction news</t>
  </si>
  <si>
    <t>https://en.tfme.com/news/400.html</t>
  </si>
  <si>
    <t>Official company news</t>
  </si>
  <si>
    <t>2015/2016 transaction context</t>
  </si>
  <si>
    <t>AMD Suzhou and AMD Penang packaging/testing joint ventures</t>
  </si>
  <si>
    <t>AMD Suzhou and AMD Penang primarily engage in high-end integrated circuit packaging and testing services.</t>
  </si>
  <si>
    <t>Older but useful for Malaysia/AMD exposure.</t>
  </si>
  <si>
    <t>S017</t>
  </si>
  <si>
    <t>Company overview</t>
  </si>
  <si>
    <t>Company Overview</t>
  </si>
  <si>
    <t>https://www.micross.com/about-us/company-overview</t>
  </si>
  <si>
    <t>45+ year heritage; specialty microelectronic products/services</t>
  </si>
  <si>
    <t>With a 45 year + heritage Micross Components...</t>
  </si>
  <si>
    <t>Founded year itself from third-party, not official.</t>
  </si>
  <si>
    <t>S018</t>
  </si>
  <si>
    <t>Facilities and countries</t>
  </si>
  <si>
    <t>Facilities &amp; Locations</t>
  </si>
  <si>
    <t>https://www.micross.com/about-us/facilities-and-locations</t>
  </si>
  <si>
    <t>17 manufacturing operations; U.S., Mexico, UK, Denmark facilities</t>
  </si>
  <si>
    <t>Micross has 17 world class manufacturing operations.</t>
  </si>
  <si>
    <t>Primary footprint evidence.</t>
  </si>
  <si>
    <t>S019</t>
  </si>
  <si>
    <t>OSAT positioning</t>
  </si>
  <si>
    <t>Micross Acquires Integra Technologies</t>
  </si>
  <si>
    <t>https://www.micross.com/about-us/news-and-info/newsletters/january-2025-micross-acquires-integra-technologies</t>
  </si>
  <si>
    <t>Largest hi-rel microelectronics OSAT provider in the United States</t>
  </si>
  <si>
    <t>Largest hi-rel microelectronics OSAT provider in the United States.</t>
  </si>
  <si>
    <t>Post-2024 acquisition; note date when comparing 2024 data.</t>
  </si>
  <si>
    <t>S020</t>
  </si>
  <si>
    <t>Dec 2024 Revenue Release</t>
  </si>
  <si>
    <t>Powertech Technology</t>
  </si>
  <si>
    <t>https://www.pti.com.tw/en/ir/news/message/8ff9d94c-245d-4f5a-a828-0b947ce3b21d</t>
  </si>
  <si>
    <t>Official company revenue release</t>
  </si>
  <si>
    <t>2025-01</t>
  </si>
  <si>
    <t>Jan-Dec 2024 revenue NT$73,315 million</t>
  </si>
  <si>
    <t>Revenue for Jan through Dec 2024 totaled NT$ 73,315 million.</t>
  </si>
  <si>
    <t>Monthly revenue release.</t>
  </si>
  <si>
    <t>S021</t>
  </si>
  <si>
    <t>Profile and footprint</t>
  </si>
  <si>
    <t>About PTI</t>
  </si>
  <si>
    <t>Founded 1997; over 18,000 employees; facilities in Taiwan, China, Japan</t>
  </si>
  <si>
    <t>PTI has over 18,000 employees ... manufacturing facility located in Taiwan, China and Japan.</t>
  </si>
  <si>
    <t>Profile source.</t>
  </si>
  <si>
    <t>S022</t>
  </si>
  <si>
    <t>Semiconductor Assembly and Testing</t>
  </si>
  <si>
    <t>https://utacgroup.com/</t>
  </si>
  <si>
    <t>OSAT services; locations Singapore, Thailand, Indonesia, China</t>
  </si>
  <si>
    <t>S023</t>
  </si>
  <si>
    <t>Facilities</t>
  </si>
  <si>
    <t>Global Presence &amp; Excellence</t>
  </si>
  <si>
    <t>https://utacgroup.com/global-presence-excellence/</t>
  </si>
  <si>
    <t>10 facilities across Asia</t>
  </si>
  <si>
    <t>Our 10 state-of-the-art facilities across Asia.</t>
  </si>
  <si>
    <t>Facility-count evidence.</t>
  </si>
  <si>
    <t>S024</t>
  </si>
  <si>
    <t>Certifications</t>
  </si>
  <si>
    <t>Quality Management</t>
  </si>
  <si>
    <t>https://utacgroup.com/quality-management/</t>
  </si>
  <si>
    <t>IATF 16949, ISO 9001, ISO 26262, ISO 45001, ISO 14001</t>
  </si>
  <si>
    <t>Comprehensive list of internationally recognized certifications.</t>
  </si>
  <si>
    <t>S025</t>
  </si>
  <si>
    <t>Profile, employees, services</t>
  </si>
  <si>
    <t>HANA Micron English homepage</t>
  </si>
  <si>
    <t>Founded 2001; revenue 2025 KRW 1,534 bn; employees 4,000; Bump/Package/Test services</t>
  </si>
  <si>
    <t>Number of Employees 4,000.</t>
  </si>
  <si>
    <t>2024 revenue not found in official English source.</t>
  </si>
  <si>
    <t>S026</t>
  </si>
  <si>
    <t>HANA Micron Revenue</t>
  </si>
  <si>
    <t>StockAnalysis</t>
  </si>
  <si>
    <t>https://stockanalysis.com/quote/kosdaq/067310/revenue/</t>
  </si>
  <si>
    <t>Reputable finance aggregator</t>
  </si>
  <si>
    <t>2026 page</t>
  </si>
  <si>
    <t>FY2024 revenue about KRW 1.25 trillion</t>
  </si>
  <si>
    <t>Dec 31, 2024, 1.25T.</t>
  </si>
  <si>
    <t>Manual DART/annual filing verification required.</t>
  </si>
  <si>
    <t>S027</t>
  </si>
  <si>
    <t>2024 Annual Report</t>
  </si>
  <si>
    <t>KYEC</t>
  </si>
  <si>
    <t>https://www.kyec.com.tw/Upfiles/EDUp/files/%E8%82%A1%E6%9D%B1%E6%9C%83/113%E5%B9%B4%E5%BA%A6%E4%BA%AC%E5%85%83%E8%82%A1%E6%9D%B1%E6%9C%83%E5%B9%B4%E5%A0%B1%28E%29.pdf</t>
  </si>
  <si>
    <t>Official annual report PDF</t>
  </si>
  <si>
    <t>2024 consolidated operating revenue NT$26.856 billion</t>
  </si>
  <si>
    <t>The Company consolidated operating revenue in 2024 was NT$26.856.</t>
  </si>
  <si>
    <t>PDF snippet likely omits billion unit; cross-check financial table if modeling.</t>
  </si>
  <si>
    <t>S028</t>
  </si>
  <si>
    <t>Profile and services</t>
  </si>
  <si>
    <t>About KYEC</t>
  </si>
  <si>
    <t>https://www.kyec.com.tw/en/About</t>
  </si>
  <si>
    <t>Founded May 1987; HQ Hsinchu; primary factories Miaoli; North America/Japan/Singapore offices</t>
  </si>
  <si>
    <t>Founded in May 1987... primary production factories are situated in Miaoli County.</t>
  </si>
  <si>
    <t>S029</t>
  </si>
  <si>
    <t>Singapore presence</t>
  </si>
  <si>
    <t>KYEC opens Singapore facility</t>
  </si>
  <si>
    <t>Singapore Economic Development Board</t>
  </si>
  <si>
    <t>https://www.edb.gov.sg/en/about-edb/media-releases-publications/kyec-opens-singapore-facility-marking-global-expansion.html</t>
  </si>
  <si>
    <t>Government economic development agency release</t>
  </si>
  <si>
    <t>2026-05/2026-06</t>
  </si>
  <si>
    <t>Singapore facility has CP, FT, BI and SLT capabilities</t>
  </si>
  <si>
    <t>Facility officially commenced operations on May 22, 2026.</t>
  </si>
  <si>
    <t>Post-2024 facility; flagged in notes.</t>
  </si>
  <si>
    <t>S030</t>
  </si>
  <si>
    <t>Country Risk</t>
  </si>
  <si>
    <t>Logistics indicator</t>
  </si>
  <si>
    <t>Logistics performance index overall</t>
  </si>
  <si>
    <t>World Bank</t>
  </si>
  <si>
    <t>https://data.worldbank.org/indicator/LP.LPI.OVRL.XQ</t>
  </si>
  <si>
    <t>Government/multilateral dataset</t>
  </si>
  <si>
    <t>Last updated 2026-04-08</t>
  </si>
  <si>
    <t>Latest non-null LPI values used, WDI date 2022</t>
  </si>
  <si>
    <t>Overall score 1=low to 5=high.</t>
  </si>
  <si>
    <t>WDI date is 2022; LPI documentation describes latest survey period separately.</t>
  </si>
  <si>
    <t>S031</t>
  </si>
  <si>
    <t>Governance indicators</t>
  </si>
  <si>
    <t>Worldwide Governance Indicators (WGI)</t>
  </si>
  <si>
    <t>World Bank Data360</t>
  </si>
  <si>
    <t>https://data360.worldbank.org/en/dataset/WB_WGI</t>
  </si>
  <si>
    <t>2025 revision</t>
  </si>
  <si>
    <t>2024 WGI 0-100 scores for PV, RL, RQ, CC</t>
  </si>
  <si>
    <t>WGI provides governance estimates and absolute scores.</t>
  </si>
  <si>
    <t>Central WGI score rows used, not confidence intervals.</t>
  </si>
  <si>
    <t>S032</t>
  </si>
  <si>
    <t>Corruption/compliance</t>
  </si>
  <si>
    <t>Corruption Perceptions Index 2025</t>
  </si>
  <si>
    <t>Transparency International</t>
  </si>
  <si>
    <t>https://www.transparency.org/en/cpi/2025</t>
  </si>
  <si>
    <t>NGO governance index</t>
  </si>
  <si>
    <t>2025 CPI scores and ranks by country</t>
  </si>
  <si>
    <t>Scores on a scale of 0 to 100.</t>
  </si>
  <si>
    <t>Country pages scraped for short CPI sentences.</t>
  </si>
  <si>
    <t>S033</t>
  </si>
  <si>
    <t>Trade exposure</t>
  </si>
  <si>
    <t>2026 National Trade Estimate Report</t>
  </si>
  <si>
    <t>USTR</t>
  </si>
  <si>
    <t>https://ustr.gov/sites/default/files/files/Press/Releases/2026/National%20Trade%20Estimate%20Report%202026.pdf</t>
  </si>
  <si>
    <t>U.S. government report</t>
  </si>
  <si>
    <t>Foreign trade barrier context by country</t>
  </si>
  <si>
    <t>Annual report detailing foreign trade barriers.</t>
  </si>
  <si>
    <t>Used for directional trade exposure notes, not numeric scoring.</t>
  </si>
  <si>
    <t>S034</t>
  </si>
  <si>
    <t>Semiconductor policy</t>
  </si>
  <si>
    <t>CHIPS for America</t>
  </si>
  <si>
    <t>NIST / U.S. Department of Commerce</t>
  </si>
  <si>
    <t>https://www.nist.gov/chips</t>
  </si>
  <si>
    <t>U.S. government program page</t>
  </si>
  <si>
    <t>Program established 2022; page accessed current</t>
  </si>
  <si>
    <t>$50 billion for U.S. semiconductor R&amp;D and manufacturing programs</t>
  </si>
  <si>
    <t>$50 billion for a suite of programs.</t>
  </si>
  <si>
    <t>Used for U.S. semiconductor policy notes.</t>
  </si>
  <si>
    <t>S035</t>
  </si>
  <si>
    <t>Taiwan geopolitical context</t>
  </si>
  <si>
    <t>U.S.-Taiwan Trade and Economic Relations</t>
  </si>
  <si>
    <t>Congressional Research Service via EveryCRSReport</t>
  </si>
  <si>
    <t>https://www.everycrsreport.com/files/2025-01-14_IF10256_40a523ad3b2b58663b407848c8f443799152c219.html</t>
  </si>
  <si>
    <t>Congressional research report mirror</t>
  </si>
  <si>
    <t>Taiwan active in assembly, packaging and testing; PRC pressure/diversification context</t>
  </si>
  <si>
    <t>Taiwan firms are also active in chip R&amp;D; materials; design; and assembly, packaging, and testing.</t>
  </si>
  <si>
    <t>Used for Taiwan geopolitical/semiconductor note.</t>
  </si>
  <si>
    <t xml:space="preserve"> </t>
  </si>
  <si>
    <t>Revenue USD</t>
  </si>
  <si>
    <t>Revenue USD (Converted using exchange rates accessed June 16, 2026.)</t>
  </si>
  <si>
    <t>Technical Capability</t>
  </si>
  <si>
    <t>Financial Scale</t>
  </si>
  <si>
    <t>Geographic Diversification</t>
  </si>
  <si>
    <t>U.S. Buyer Fit</t>
  </si>
  <si>
    <t>Data Confidence</t>
  </si>
  <si>
    <t>Prevalence Level</t>
  </si>
  <si>
    <t>Why This Weight Fits Today's Economy and Business Environment</t>
  </si>
  <si>
    <t>How To Use In Supplier Model</t>
  </si>
  <si>
    <t>Very High</t>
  </si>
  <si>
    <t>Geopolitical conflict, tariffs, export controls, sanctions, industrial policy, and China/Taiwan exposure are among the most visible business risks today. Semiconductor packaging suppliers are directly affected because country-level policy can determine whether products, tools, customers, or capital can move freely.</t>
  </si>
  <si>
    <t>Weight country of headquarters and manufacturing locations heavily. Include China exposure, Taiwan concentration, U.S. export-control sensitivity, sanctions exposure, and governance indicators.</t>
  </si>
  <si>
    <t>https://www.weforum.org/publications/global-risks-report-2026/digest/; https://commercial.allianz.com/news-and-insights/reports/allianz-risk-barometer.html; https://www.nist.gov/chips</t>
  </si>
  <si>
    <t>Evidence-based model weight, not a directly measured incident rate.</t>
  </si>
  <si>
    <t>Supply-chain disruption is still a top business concern, and semiconductor supply chains remain geographically specialized. Suppliers with production concentrated in one sensitive region carry higher continuity risk than suppliers with verified multi-country manufacturing options.</t>
  </si>
  <si>
    <t>Use this to reward verified manufacturing diversification across Taiwan, Southeast Asia, North America, Europe, Japan, and Korea. Penalize single-region concentration or unclear footprint evidence.</t>
  </si>
  <si>
    <t>https://www.semiconductors.org/strengthening-the-global-semiconductor-supply-chain-in-an-uncertain-era/; https://commercial.allianz.com/news-and-insights/reports/allianz-risk-barometer.html</t>
  </si>
  <si>
    <t>Separate this from country risk: country risk asks where the supplier operates; geographic diversification asks how concentrated that footprint is.</t>
  </si>
  <si>
    <t>Advanced Packaging / AI Fit</t>
  </si>
  <si>
    <t>AI demand is one of the strongest current forces in semiconductors, and advanced packaging has become a key bottleneck and differentiator for AI/HPC chips. OSAT suppliers with credible 2.5D/3D, chiplet, fan-out, SiP, HBM-related, or advanced test capability are more strategically relevant.</t>
  </si>
  <si>
    <t>https://www.deloitte.com/us/en/insights/industry/technology/technology-media-telecom-outlooks/semiconductor-industry-outlook.html; https://www.nist.gov/chips; https://www.semiconductors.org/chip-supply-chain-investments/</t>
  </si>
  <si>
    <t>High weight because this project is semiconductor-packaging-specific, but not every buyer needs leading-edge AI packaging.</t>
  </si>
  <si>
    <t>General execution capability still matters strongly: package/test breadth, reliability, yield, automotive quality, engineering support, certifications, and ability to handle complex customer requirements. This is especially important as supply chains prioritize resilience and product quality.</t>
  </si>
  <si>
    <t>https://www.deloitte.com/us/en/insights/industry/technology/technology-media-telecom-outlooks/semiconductor-industry-outlook.html; https://www.nist.gov/chips</t>
  </si>
  <si>
    <t>Keep distinct from Advanced Packaging / AI Fit so ordinary quality capability and leading-edge AI capability are not double-counted.</t>
  </si>
  <si>
    <t>Higher interest rates, demand swings, inventory cycles, and rising corporate insolvencies make supplier financial strength relevant. Larger public OSATs usually have stronger disclosure and capex capacity, while private or smaller specialty suppliers can be harder to evaluate.</t>
  </si>
  <si>
    <t>Use for revenue scale, public/private disclosure, capex capacity, profitability trend where available, customer concentration risk, and ability to survive downturns.</t>
  </si>
  <si>
    <t>https://www.allianz-trade.com/en_global/news-insights/news/insolvency-report-2026.html; https://commercial.allianz.com/news-and-insights/reports/allianz-risk-barometer.html</t>
  </si>
  <si>
    <t>Do not automatically penalize niche suppliers too heavily; smaller specialty suppliers may be strategically valuable despite lower disclosed scale.</t>
  </si>
  <si>
    <t>U.S. buyers face growing requirements around CHIPS policy, trusted supply chains, export controls, defense/critical infrastructure needs, and compliance with U.S. customer expectations. This matters most when the target customer base is U.S.-centric.</t>
  </si>
  <si>
    <t>Use for U.S. presence, North American support, trusted supplier fit, defense/aerospace suitability where relevant, export-control compatibility, and ability to support U.S. buyer requirements.</t>
  </si>
  <si>
    <t>https://www.nist.gov/chips; https://www.semiconductors.org/chip-supply-chain-investments/</t>
  </si>
  <si>
    <t>Medium weight because it is highly important for U.S. portfolios but less universal for all global buyers.</t>
  </si>
  <si>
    <t>Medium-Low</t>
  </si>
  <si>
    <t>Breadth of packaging, test, reliability, certifications, automotive/industrial quality</t>
  </si>
  <si>
    <t>Specific evidence of AI/HPC, 2.5D/3D, chiplets, SiP, fan-out, HBM-related work, advanced test</t>
  </si>
  <si>
    <t>Category</t>
  </si>
  <si>
    <t>Weight</t>
  </si>
  <si>
    <t>Country / Trade Risk</t>
  </si>
  <si>
    <t>Cost Exposure Proxy</t>
  </si>
  <si>
    <t>Weightings are analyst-defined assumptions based on the sourcing priorities of a U.S.-based semiconductor hardware buyer. They are informed by public risk reports and semiconductor industry sources but should not be interpreted as measured incident probabilities.</t>
  </si>
  <si>
    <t>Cost still matters in sourcing, but exact OSAT pricing is usually private and unavailable without RFQs. Semiconductor buyers face cost pressure from AI-driven capacity demand, advanced packaging bottlenecks, tariffs/trade exposure, freight volatility, energy/material costs, and regional operating-cost differences. However, because this model uses public data instead of real supplier quotes, cost should be treated as a proxy rather than a precise landed-cost calculation.</t>
  </si>
  <si>
    <r>
      <t xml:space="preserve">Score suppliers based on public cost indicators: region cost profile, supplier scale, manufacturing footprint, domestic vs offshore exposure, China/tariff exposure, freight/logistics sensitivity, and whether the supplier likely offers cost advantage or resilience premium. Do </t>
    </r>
    <r>
      <rPr>
        <b/>
        <sz val="12"/>
        <color theme="1"/>
        <rFont val="Aptos Narrow"/>
        <family val="2"/>
        <scheme val="minor"/>
      </rPr>
      <t>not</t>
    </r>
    <r>
      <rPr>
        <sz val="12"/>
        <color theme="1"/>
        <rFont val="Aptos Narrow"/>
        <family val="2"/>
        <scheme val="minor"/>
      </rPr>
      <t xml:space="preserve"> invent exact packaging cost per unit unless clearly labeled as an assumption.</t>
    </r>
  </si>
  <si>
    <t>Deloitte 2026 Semiconductor Outlook; Allianz Risk Barometer 2026; USITC HTS 8542; SIA/BCG semiconductor supply chain study.</t>
  </si>
  <si>
    <t>This is an analyst-defined proxy, not real quoted supplier pricing. It should be lower-weighted than technical capability and country risk because pricing data is not directly available. Use it to compare likely cost exposure, not actual supplier bids.</t>
  </si>
  <si>
    <t>Core Supplier Score</t>
  </si>
  <si>
    <t>Confidence-Adjusted Score</t>
  </si>
  <si>
    <t>Rank</t>
  </si>
  <si>
    <t>Supplier Tier</t>
  </si>
  <si>
    <t>Recommended Role</t>
  </si>
  <si>
    <t>Tongfu Microelectronics</t>
  </si>
  <si>
    <t>Financial Scale Score</t>
  </si>
  <si>
    <t>Rationale</t>
  </si>
  <si>
    <t>Largest scale in your list; very strong public revenue base</t>
  </si>
  <si>
    <t>Large public U.S.-headquartered global OSAT</t>
  </si>
  <si>
    <t>Large public China-based OSAT with major scale</t>
  </si>
  <si>
    <t>Strong mid-large public OSAT scale</t>
  </si>
  <si>
    <t>Strong public backend packaging/test scale</t>
  </si>
  <si>
    <t>Strong public China-based OSAT scale</t>
  </si>
  <si>
    <t>Smaller public supplier compared with global OSAT leaders</t>
  </si>
  <si>
    <t>Smaller scale; revenue source needs manual verification</t>
  </si>
  <si>
    <t>Established OSAT, but private/limited public revenue reduces financial visibility</t>
  </si>
  <si>
    <t>Useful specialty U.S. supplier, but not comparable in scale to global OSATs</t>
  </si>
  <si>
    <t>2024 Revenue USD</t>
  </si>
  <si>
    <t>$10B+</t>
  </si>
  <si>
    <t>$5B–$10B</t>
  </si>
  <si>
    <t>$2B–$5B</t>
  </si>
  <si>
    <t>$1B–$2B</t>
  </si>
  <si>
    <t>$500M–$1B</t>
  </si>
  <si>
    <t>Under $500M</t>
  </si>
  <si>
    <t>3–4</t>
  </si>
  <si>
    <t>4–6, depending on supplier type and evidence</t>
  </si>
  <si>
    <t>Country / Region</t>
  </si>
  <si>
    <t>Baseline Country / Trade Risk Score</t>
  </si>
  <si>
    <t>Strong U.S. buyer fit, lower trade friction for U.S.-based customers, CHIPS policy alignment</t>
  </si>
  <si>
    <t>Strong logistics, stable business environment, major Southeast Asia semiconductor hub</t>
  </si>
  <si>
    <t>Strong U.S. alignment, high technical ecosystem, stable governance</t>
  </si>
  <si>
    <t>Strong semiconductor ecosystem and U.S.-aligned technology partner</t>
  </si>
  <si>
    <t>Important packaging/test hub with lower China/Taiwan concentration risk</t>
  </si>
  <si>
    <t>Growing electronics/semiconductor supply-chain alternative, but less mature than Singapore/Malaysia</t>
  </si>
  <si>
    <t>Strong semiconductor ecosystem, but cross-strait geopolitical concentration risk is significant</t>
  </si>
  <si>
    <t>High U.S.-China trade/export-control exposure for advanced semiconductors and AI hardware</t>
  </si>
  <si>
    <t>Country / Trade Risk Score</t>
  </si>
  <si>
    <t>Taiwan HQ and major Taiwan exposure create geopolitical concentration risk, but global footprint helps reduce some exposure.</t>
  </si>
  <si>
    <t>China-based OSAT with major China exposure; higher U.S. export-control and trade-friction risk.</t>
  </si>
  <si>
    <t>China-centered supplier; higher U.S.-China trade and policy exposure.</t>
  </si>
  <si>
    <t>U.S.-headquartered global OSAT with diversified operations; still has Asia manufacturing exposure, so not a 10.</t>
  </si>
  <si>
    <t>China HQ and China manufacturing exposure; Malaysia footprint helps slightly but does not remove China trade risk.</t>
  </si>
  <si>
    <t>U.S.-based specialty/high-reliability supplier; strong U.S. buyer fit and lower geopolitical trade friction.</t>
  </si>
  <si>
    <t>Taiwan-based with China/Japan exposure; Taiwan concentration and China exposure create moderate risk.</t>
  </si>
  <si>
    <t>Singapore/Southeast Asia footprint is useful for diversification, but China presence lowers the score slightly.</t>
  </si>
  <si>
    <t>South Korea/Vietnam footprint gives decent U.S.-aligned diversification; lower risk than China-heavy suppliers.</t>
  </si>
  <si>
    <t>Taiwan-based testing supplier; Taiwan exposure creates moderate geopolitical concentration risk.</t>
  </si>
  <si>
    <t>Geographic Diversification Score</t>
  </si>
  <si>
    <t>JCET has meaningful multi-country exposure through China, South Korea, and Singapore, but the footprint is still more Asia-concentrated than ASE or Amkor.</t>
  </si>
  <si>
    <t>Huatian appears more China-centered, with Malaysia-linked exposure through Unisem. Score should stay moderate unless verified manufacturing-region data shows broader diversification.</t>
  </si>
  <si>
    <t>Amkor is U.S.-headquartered and has a broad global manufacturing footprint. Amkor also describes itself as the world’s largest U.S.-based semiconductor packaging and test services provider, and its history page refers to more than 30,000 employees and 20 manufacturing locations. (Amkor Technology)</t>
  </si>
  <si>
    <t>Tongfu has China and Malaysia production exposure, giving some diversification, but it remains China-centered compared with broader global OSATs.</t>
  </si>
  <si>
    <t>Micross is useful as a U.S. specialty/high-reliability supplier, but its geographic footprint is much narrower than major global OSATs. Its value is resilience and trusted-supply fit, not broad geographic diversification.</t>
  </si>
  <si>
    <t>PTI has Taiwan, China, and Japan exposure, giving moderate diversification, but it remains largely East Asia-focused.</t>
  </si>
  <si>
    <t>UTAC has a strong Southeast Asia diversification profile through Singapore, Thailand, Indonesia, and China. It is not as globally diversified as ASE/Amkor but is valuable for Southeast Asia resilience.</t>
  </si>
  <si>
    <t>Hana Micron’s South Korea and Vietnam footprint provides some useful diversification, but the model should treat it as regional diversification rather than global-scale diversification.</t>
  </si>
  <si>
    <t>KYEC is mainly Taiwan-based/testing-focused. Unless broader manufacturing locations are verified, score it lower for geographic diversification.</t>
  </si>
  <si>
    <t>Score</t>
  </si>
  <si>
    <t>Meaning</t>
  </si>
  <si>
    <t>9–10</t>
  </si>
  <si>
    <t>Verified manufacturing footprint across 5+ countries or multiple major regions, including Asia plus North America/Europe or Southeast Asia alternatives</t>
  </si>
  <si>
    <t>7–8</t>
  </si>
  <si>
    <t>Multi-country footprint across 3–4 countries or meaningful regional diversification</t>
  </si>
  <si>
    <t>5–6</t>
  </si>
  <si>
    <t>Some diversification, but still concentrated in one main region</t>
  </si>
  <si>
    <t>Mostly single-country or narrow regional footprint</t>
  </si>
  <si>
    <t>1–2</t>
  </si>
  <si>
    <t>No reliable footprint evidence or highly concentrated operations</t>
  </si>
  <si>
    <t>Strong official evidence of advanced packaging and AI/HPC relevance, such as heterogeneous integration, 2.5D/3D, fan-out, chiplets, AI/HPC, or advanced system integration</t>
  </si>
  <si>
    <t>Clear advanced packaging evidence, but AI/HPC relevance is less direct or less detailed</t>
  </si>
  <si>
    <t>General packaging/test capability with some advanced packaging evidence, but limited AI/HPC proof</t>
  </si>
  <si>
    <t>Mostly traditional packaging, testing, or specialty work with weak advanced packaging evidence</t>
  </si>
  <si>
    <t>Little or no public evidence of advanced packaging / AI-HPC fit</t>
  </si>
  <si>
    <t>Advanced Packaging / AI Fit Score</t>
  </si>
  <si>
    <t>ASE has very strong advanced packaging and AI evidence. It describes leadership in advanced packaging, heterogeneous integration, system integration, and AI-era performance, speed, and efficiency. (ASE)</t>
  </si>
  <si>
    <t>JCET has strong advanced packaging and HPC relevance. Recent reporting says JCET increased investment in high-end advanced packaging and is targeting high-performance computing, storage, and embodied intelligence opportunities. (DigiconAsia)</t>
  </si>
  <si>
    <t>Huatian appears to have advanced packaging exposure, but public English evidence is weaker. Secondary summaries describe Huatian as a major China OSAT with advanced packaging areas such as SiP, TSV, Fan-Out, and WLP, but this should be manually verified through annual reports or official filings before final scoring. (Wikipedia)</t>
  </si>
  <si>
    <t>Amkor has very strong advanced packaging relevance. It positions itself as a major U.S.-based packaging and test provider, and recent reporting says Amkor is working with AMD on advanced packaging in Arizona for modern data center processors. (Amkor Technology)</t>
  </si>
  <si>
    <t>Tongfu has strong advanced packaging relevance, especially because reporting links it to AMD-related CPU/GPU/APU packaging capability and AI packaging positioning. Because some evidence is from secondary reporting, keep a source-confidence note. (DIGITIMES Asia)</t>
  </si>
  <si>
    <t>Micross is not a mega-OSAT, but it has relevant advanced/high-reliability packaging capability. Micross describes advanced packaging supply-chain work for onshore microelectronics, and a DoD contract announcement describes advanced packaging, assembly, modification, upscreening, and test capabilities. (micross.com)</t>
  </si>
  <si>
    <t>PTI has strong advanced packaging evidence. It describes investment in 2.5D/3D advanced packaging, bumping, TSV, heterogeneous integration, and high-bandwidth/high-performance computing support. (pti.com.tw)</t>
  </si>
  <si>
    <t>UTAC describes itself as delivering advanced semiconductor packaging and testing solutions, and its computing segment supports data center technology and AI servers. This makes it a solid advanced packaging / AI-fit supplier, though not as strong as ASE or Amkor. (UTAC)</t>
  </si>
  <si>
    <t>Hana Micron is a backend process provider and has some advanced packaging relevance, but the evidence is less detailed than ASE, Amkor, or PTI. Its official site positions the company as a total solution provider for the semiconductor back-end process; stronger advanced packaging details should be manually verified. (hanamicron.com)</t>
  </si>
  <si>
    <t>KYEC is more testing-focused than packaging-focused. It has advanced WLCSP testing capability and recent reporting connects KYEC to advanced testing demand for AI/HPC chips, but it should not score as highly as full advanced packaging OSATs. (kyec.com.tw)</t>
  </si>
  <si>
    <t>Broad full-service OSAT capability with packaging, assembly, wafer-level services, final test, reliability/validation, engineering support, and multiple end markets</t>
  </si>
  <si>
    <t>Strong packaging/test capability, but less breadth, weaker evidence, or more regional/specialized focus</t>
  </si>
  <si>
    <t>Useful but narrower capability, such as testing-focused, specialty/high-reliability, or limited public evidence</t>
  </si>
  <si>
    <t>Limited public evidence of technical breadth or mostly niche capability</t>
  </si>
  <si>
    <t>Weak fit for semiconductor packaging/test sourcing model</t>
  </si>
  <si>
    <t>Technical Capability Score</t>
  </si>
  <si>
    <t>ASE is the technical benchmark in this list. It describes itself as a leading provider of independent semiconductor manufacturing services in assembly and test, with turnkey services and advanced packaging/system integration capabilities. (ASE)</t>
  </si>
  <si>
    <t>Amkor is a major full-service OSAT. It describes itself as the world’s largest U.S.-based semiconductor packaging and test services provider, offers semiconductor packaging solutions, and provides comprehensive test services including wafer-level and package assembly support. (Amkor Technology)</t>
  </si>
  <si>
    <t>Tongfu has strong technical breadth. Its official site describes one-stop services including design simulation, wafer-level testing, packaging, finished-product testing, and system-level testing across consumer, industrial, automotive, HPC, communications, AI, IoT, and industrial smart manufacturing markets. (Tongfu Microelectronics Co., Ltd.)</t>
  </si>
  <si>
    <t>Micross is not a global mega-OSAT, but it has strong specialty/high-reliability capability. It provides packaging, testing, qualification, ruggedization, screening, and end-to-end services for space, aerospace, defense, and other high-reliability markets. (micross.com)</t>
  </si>
  <si>
    <t>PTI has strong backend capability, including chip bumping, chip probing, IC assembly, final testing, burn-in, and system-level assembly. It also supports international customers and has automotive/IoT expansion evidence through Japan operations. (pti.com.tw)</t>
  </si>
  <si>
    <t>UTAC is a full-service OSAT with advanced packaging and testing solutions across Singapore, Thailand, Indonesia, and China. It supports mission-critical applications in automotive, computing, and communications, making it technically strong even if smaller than ASE/Amkor. (UTAC)</t>
  </si>
  <si>
    <t>Hana Micron positions itself as a total solution provider for the semiconductor back-end process. Its capability evidence is solid but less detailed than the top global OSATs, so score it below ASE, Amkor, JCET, Tongfu, and PTI unless more detailed service data is verified. (hanamicron.com)</t>
  </si>
  <si>
    <t>KYEC is technically strong in testing but narrower than full-service OSAT suppliers. It is mainly engaged in wafer testing, finished product testing, and burn-in testing, with Singapore expansion adding chip probe, final test, burn-in, and system-level test capability. (kyec.com.tw)</t>
  </si>
  <si>
    <t>U.S.-based, strong domestic presence, high trusted-supply fit, low export-control friction</t>
  </si>
  <si>
    <t>Strong U.S. buyer compatibility, global supplier, some U.S. presence or strong U.S. customer relevance</t>
  </si>
  <si>
    <t>Usable for U.S. buyers, but limited U.S. footprint or moderate policy/trade friction</t>
  </si>
  <si>
    <t>Significant U.S.-China export-control, tariff, or compliance friction</t>
  </si>
  <si>
    <t>Poor fit for a U.S.-based advanced semiconductor buyer</t>
  </si>
  <si>
    <t>U.S. Buyer Fit Score</t>
  </si>
  <si>
    <t>ASE is a major global OSAT and relevant to U.S. buyers, but Taiwan concentration and Asia-heavy operations make it less U.S.-aligned than Amkor or Micross.</t>
  </si>
  <si>
    <t>JCET has global scale, but China HQ and China exposure create higher U.S. export-control and policy friction for advanced semiconductor sourcing.</t>
  </si>
  <si>
    <t>Huatian is China-centered, so it has weaker U.S. buyer fit because of trade, compliance, and export-control concerns.</t>
  </si>
  <si>
    <t>Amkor is U.S.-headquartered and highly relevant for U.S. semiconductor packaging resilience. Its Arizona advanced packaging plans make it one of the strongest U.S. buyer-fit suppliers in the model.</t>
  </si>
  <si>
    <t>Tongfu has useful OSAT capability, but China HQ and China exposure lower its fit for a U.S.-based advanced semiconductor buyer.</t>
  </si>
  <si>
    <t>Micross is a strong U.S. specialty/high-reliability supplier. It fits U.S. trusted-supply, defense, aerospace, and high-reliability needs better than most global OSATs, even if it lacks mega-scale.</t>
  </si>
  <si>
    <t>PTI is a credible Taiwan-based backend supplier, but U.S. buyer fit is moderate because its value is technical/backend capability rather than U.S. domestic alignment.</t>
  </si>
  <si>
    <t>UTAC’s Singapore/Southeast Asia footprint gives it decent U.S. buyer fit as a diversification option, though it is not U.S.-based and has some China presence.</t>
  </si>
  <si>
    <t>Hana Micron’s South Korea/Vietnam footprint makes it a reasonable U.S. buyer diversification option, but it has limited direct U.S. alignment compared with Amkor or Micross.</t>
  </si>
  <si>
    <t>KYEC is useful as a Taiwan-based testing-focused supplier, but U.S. buyer fit is moderate due to Taiwan concentration and narrower supplier role.</t>
  </si>
  <si>
    <t>Likely strong cost competitiveness, large scale, Asia manufacturing advantage, and manageable trade/logistics exposure</t>
  </si>
  <si>
    <t>Good cost profile with some trade, logistics, or capacity-pressure exposure</t>
  </si>
  <si>
    <t>Balanced cost position, but moderate exposure from region, scale, or limited cost visibility</t>
  </si>
  <si>
    <t>Likely higher-cost region, smaller scale, specialty services, or higher trade/tariff exposure</t>
  </si>
  <si>
    <t>Weak cost position or very high uncertainty/exposure</t>
  </si>
  <si>
    <t>Cost Exposure Proxy Score</t>
  </si>
  <si>
    <t>ASE has strong scale and Asia-based manufacturing efficiency, but advanced packaging demand, Taiwan exposure, and premium capability may create cost pressure.</t>
  </si>
  <si>
    <t>China-based scale may support cost competitiveness, but U.S.-China trade friction and export-control exposure lower the score for a U.S.-based buyer.</t>
  </si>
  <si>
    <t>China-centered footprint likely supports cost competitiveness, but trade friction and weaker public cost visibility prevent a higher score.</t>
  </si>
  <si>
    <t>Amkor has global scale and strong supplier credibility, but U.S.-headquartered/global operations and advanced packaging investment may come with a resilience premium rather than lowest-cost positioning.</t>
  </si>
  <si>
    <t>China/Malaysia footprint likely supports cost competitiveness, but China exposure creates trade and policy-related cost risk for U.S. buyers.</t>
  </si>
  <si>
    <t>Micross is a U.S. specialty/high-reliability supplier. It may be valuable for trusted supply and resilience, but likely has higher cost exposure and lower scale than global OSATs.</t>
  </si>
  <si>
    <t>Taiwan/Asia backend footprint and scale support cost competitiveness, but Taiwan concentration and specialty backend services limit the score.</t>
  </si>
  <si>
    <t>Southeast Asia footprint across Singapore, Thailand, Indonesia, and China gives a useful balance of regional cost competitiveness and diversification.</t>
  </si>
  <si>
    <t>South Korea/Vietnam footprint provides a reasonable cost profile, especially through Vietnam diversification, though scale is lower than top global OSATs.</t>
  </si>
  <si>
    <t>Taiwan testing focus may offer reasonable backend cost competitiveness, but narrower capability and Taiwan concentration keep the score moderate.</t>
  </si>
  <si>
    <t>Data Confidence Score</t>
  </si>
  <si>
    <t>Strong official sources, revenue verified, capabilities verified, footprint verified</t>
  </si>
  <si>
    <t>Mostly strong sources, minor gaps or some secondary support</t>
  </si>
  <si>
    <t>Some official info, but important fields missing or require manual verification</t>
  </si>
  <si>
    <t>Mostly third-party info, unclear financials, weak capability evidence</t>
  </si>
  <si>
    <t>Very limited evidence or unreliable sources</t>
  </si>
  <si>
    <t>Why</t>
  </si>
  <si>
    <t>Strong official sources, public company data, clear footprint, capabilities, and revenue</t>
  </si>
  <si>
    <t>Strong official sources, public company, clear revenue, capabilities, and U.S. presence</t>
  </si>
  <si>
    <t>Strong public data and revenue, but some English/source interpretation may need care</t>
  </si>
  <si>
    <t>Public company with good official financial and capability data</t>
  </si>
  <si>
    <t>Good official/company evidence, but some advanced AI/HPC context may rely on secondary sources</t>
  </si>
  <si>
    <t>Public company and clear testing role, but narrower capability scope</t>
  </si>
  <si>
    <t>Public company, but English evidence and advanced packaging details may need manual verification</t>
  </si>
  <si>
    <t>Revenue source needs manual DART verification; capability evidence is decent but less detailed</t>
  </si>
  <si>
    <t>Established OSAT, but private/limited public revenue reduces confidence</t>
  </si>
  <si>
    <t>Good official capability evidence, but private financial data and smaller scale reduce comparability</t>
  </si>
  <si>
    <t xml:space="preserve">JCET has strong full-service OSAT capability. Public company descriptions state that JCET offers turnkey services including package integration design and characterization, R&amp;D, wafer probe, wafer bumping, package assembly, final test, and drop shipment. </t>
  </si>
  <si>
    <t>Huatian is a major China OSAT with IC packaging and testing capability, but public English evidence is weaker than ASE, Amkor, JCET, or PTI. Keep this score with a manual verification note until supported by Huatian’s annual report or official filings. (W</t>
  </si>
  <si>
    <t>ASE reports manufacturing facilities across 15 countries, including Taiwan, China, South Korea, Japan, Singapore, Malaysia, Vietnam, Mexico, the U.S., and several European countries. This is the strongest geographic spread in the supplier list. (aseglobal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</si>
</sst>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0" x14ac:knownFonts="1">
    <font>
      <sz val="12"/>
      <color theme="1"/>
      <name val="Aptos Narrow"/>
      <family val="2"/>
      <scheme val="minor"/>
    </font>
    <font>
      <sz val="12"/>
      <color theme="1"/>
      <name val="Aptos Narrow"/>
      <family val="2"/>
      <scheme val="minor"/>
    </font>
    <font>
      <b/>
      <sz val="12"/>
      <color theme="1"/>
      <name val="Aptos Narrow"/>
      <family val="2"/>
      <scheme val="minor"/>
    </font>
    <font>
      <sz val="12"/>
      <color rgb="FF000000"/>
      <name val="Aptos Narrow"/>
      <family val="2"/>
      <scheme val="minor"/>
    </font>
    <font>
      <b/>
      <sz val="12"/>
      <color rgb="FF000000"/>
      <name val="Aptos Narrow"/>
      <scheme val="minor"/>
    </font>
    <font>
      <b/>
      <sz val="12"/>
      <color theme="1"/>
      <name val="Aptos Narrow"/>
      <scheme val="minor"/>
    </font>
    <font>
      <u/>
      <sz val="12"/>
      <color theme="10"/>
      <name val="Aptos Narrow"/>
      <family val="2"/>
      <scheme val="minor"/>
    </font>
    <font>
      <sz val="12"/>
      <color theme="1"/>
      <name val="Aptos Narrow"/>
      <scheme val="minor"/>
    </font>
    <font>
      <b/>
      <sz val="22"/>
      <color theme="1"/>
      <name val="Aptos Narrow"/>
      <scheme val="minor"/>
    </font>
    <font>
      <u/>
      <sz val="12"/>
      <color theme="10"/>
      <name val="Aptos Narrow"/>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6" fillId="0" borderId="0" applyNumberFormat="0" applyFill="0" applyBorder="0" applyAlignment="0" applyProtection="0"/>
  </cellStyleXfs>
  <cellXfs count="21">
    <xf numFmtId="0" fontId="0" fillId="0" borderId="0" xfId="0"/>
    <xf numFmtId="0" fontId="3" fillId="0" borderId="0" xfId="0" applyFont="1" applyAlignment="1">
      <alignment horizontal="center" vertical="center" wrapText="1"/>
    </xf>
    <xf numFmtId="0" fontId="4" fillId="2"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3" fontId="0" fillId="0" borderId="0" xfId="0" applyNumberFormat="1" applyAlignment="1">
      <alignment horizontal="center" vertical="center" wrapText="1"/>
    </xf>
    <xf numFmtId="14" fontId="3" fillId="0" borderId="0" xfId="0" applyNumberFormat="1" applyFont="1" applyAlignment="1">
      <alignment horizontal="center" vertical="center" wrapText="1"/>
    </xf>
    <xf numFmtId="0" fontId="5" fillId="2" borderId="0" xfId="0" applyFont="1" applyFill="1" applyAlignment="1">
      <alignment horizontal="center" vertical="center" wrapText="1"/>
    </xf>
    <xf numFmtId="44" fontId="0" fillId="0" borderId="0" xfId="1" applyFont="1" applyAlignment="1">
      <alignment horizontal="center" vertical="center" wrapText="1"/>
    </xf>
    <xf numFmtId="44" fontId="0" fillId="0" borderId="0" xfId="1" applyFont="1" applyAlignment="1">
      <alignment horizontal="center" vertical="center"/>
    </xf>
    <xf numFmtId="0" fontId="5" fillId="2" borderId="0" xfId="0" applyFont="1" applyFill="1" applyAlignment="1">
      <alignment horizontal="center" vertical="center"/>
    </xf>
    <xf numFmtId="9" fontId="0" fillId="0" borderId="0" xfId="0" applyNumberFormat="1" applyAlignment="1">
      <alignment horizontal="center" vertical="center"/>
    </xf>
    <xf numFmtId="0" fontId="7" fillId="0" borderId="0" xfId="0" applyFont="1" applyAlignment="1">
      <alignment horizontal="center" vertical="center"/>
    </xf>
    <xf numFmtId="0" fontId="7" fillId="2" borderId="0" xfId="0" applyFont="1" applyFill="1" applyAlignment="1">
      <alignment horizontal="center" vertical="center"/>
    </xf>
    <xf numFmtId="0" fontId="2" fillId="2" borderId="0" xfId="0" applyFont="1" applyFill="1" applyAlignment="1">
      <alignment horizontal="center" vertical="center" wrapText="1"/>
    </xf>
    <xf numFmtId="0" fontId="2" fillId="0" borderId="0" xfId="0" applyFont="1" applyAlignment="1">
      <alignment horizontal="center" vertical="center" wrapText="1"/>
    </xf>
    <xf numFmtId="0" fontId="7" fillId="0" borderId="0" xfId="0" applyFont="1" applyAlignment="1">
      <alignment horizontal="center" vertical="center" wrapText="1"/>
    </xf>
    <xf numFmtId="44" fontId="7" fillId="0" borderId="0" xfId="1" applyFont="1" applyAlignment="1">
      <alignment horizontal="center" vertical="center" wrapText="1"/>
    </xf>
    <xf numFmtId="0" fontId="9" fillId="0" borderId="0" xfId="2" applyFont="1" applyAlignment="1">
      <alignment horizontal="center" vertical="center" wrapText="1"/>
    </xf>
    <xf numFmtId="0" fontId="6" fillId="0" borderId="0" xfId="2" applyAlignment="1">
      <alignment horizontal="center" vertical="center" wrapText="1"/>
    </xf>
    <xf numFmtId="0" fontId="8" fillId="0" borderId="1" xfId="0" applyFont="1" applyBorder="1" applyAlignment="1">
      <alignment horizontal="center" vertical="center" wrapText="1"/>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2" Type="http://schemas.openxmlformats.org/officeDocument/2006/relationships/hyperlink" Target="https://amkor.com/?utm_source=chatgpt.com" TargetMode="External"/><Relationship Id="rId1" Type="http://schemas.openxmlformats.org/officeDocument/2006/relationships/hyperlink" Target="https://www.aseglobal.com/about?utm_source=chatgpt.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tacgroup.com/?utm_source=chatgpt.com" TargetMode="External"/><Relationship Id="rId3" Type="http://schemas.openxmlformats.org/officeDocument/2006/relationships/hyperlink" Target="https://en.wikipedia.org/wiki/Huatian_Technology?utm_source=chatgpt.com" TargetMode="External"/><Relationship Id="rId7" Type="http://schemas.openxmlformats.org/officeDocument/2006/relationships/hyperlink" Target="https://www.pti.com.tw/en/ir/news/message/528a32b3-110b-412c-ad93-c2be4e87d879?utm_source=chatgpt.com" TargetMode="External"/><Relationship Id="rId2" Type="http://schemas.openxmlformats.org/officeDocument/2006/relationships/hyperlink" Target="https://digiconasia.net/pr-newswire/jcet-releases-2025-annual-report-posts-record-high-full-year-revenue-and-higher-profit-before-tax?utm_source=chatgpt.com" TargetMode="External"/><Relationship Id="rId1" Type="http://schemas.openxmlformats.org/officeDocument/2006/relationships/hyperlink" Target="https://ase.aseglobal.com/?utm_source=chatgpt.com" TargetMode="External"/><Relationship Id="rId6" Type="http://schemas.openxmlformats.org/officeDocument/2006/relationships/hyperlink" Target="https://www.micross.com/about-us/news-and-info/webinars/developing-advanced-packaging-supply-chains-for-onshore-microelectronics-production?utm_source=chatgpt.com" TargetMode="External"/><Relationship Id="rId5" Type="http://schemas.openxmlformats.org/officeDocument/2006/relationships/hyperlink" Target="https://www.digitimes.com/news/a20251031PD223/packaging-amd-tongfu-testing-gpu.html?utm_source=chatgpt.com" TargetMode="External"/><Relationship Id="rId10" Type="http://schemas.openxmlformats.org/officeDocument/2006/relationships/hyperlink" Target="https://www.kyec.com.tw/en/Service/technology-innovation?utm_source=chatgpt.com" TargetMode="External"/><Relationship Id="rId4" Type="http://schemas.openxmlformats.org/officeDocument/2006/relationships/hyperlink" Target="https://amkor.com/?utm_source=chatgpt.com" TargetMode="External"/><Relationship Id="rId9" Type="http://schemas.openxmlformats.org/officeDocument/2006/relationships/hyperlink" Target="https://hanamicron.com/eng/index.do?utm_source=chatgpt.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tacgroup.com/?utm_source=chatgpt.com" TargetMode="External"/><Relationship Id="rId3" Type="http://schemas.openxmlformats.org/officeDocument/2006/relationships/hyperlink" Target="https://en.wikipedia.org/wiki/Huatian_Technology?utm_source=chatgpt.com" TargetMode="External"/><Relationship Id="rId7" Type="http://schemas.openxmlformats.org/officeDocument/2006/relationships/hyperlink" Target="https://www.pti.com.tw/en/about/about?utm_source=chatgpt.com" TargetMode="External"/><Relationship Id="rId2" Type="http://schemas.openxmlformats.org/officeDocument/2006/relationships/hyperlink" Target="https://www.prnewswire.com/news-releases/jcet-unveils-new-logo-representing-the-companys-continued-evolution-301446409.html?utm_source=chatgpt.com" TargetMode="External"/><Relationship Id="rId1" Type="http://schemas.openxmlformats.org/officeDocument/2006/relationships/hyperlink" Target="https://ase.aseglobal.com/?utm_source=chatgpt.com" TargetMode="External"/><Relationship Id="rId6" Type="http://schemas.openxmlformats.org/officeDocument/2006/relationships/hyperlink" Target="https://www.micross.com/?utm_source=chatgpt.com" TargetMode="External"/><Relationship Id="rId5" Type="http://schemas.openxmlformats.org/officeDocument/2006/relationships/hyperlink" Target="https://en.tfme.com/?utm_source=chatgpt.com" TargetMode="External"/><Relationship Id="rId10" Type="http://schemas.openxmlformats.org/officeDocument/2006/relationships/hyperlink" Target="https://www.kyec.com.tw/en?utm_source=chatgpt.com" TargetMode="External"/><Relationship Id="rId4" Type="http://schemas.openxmlformats.org/officeDocument/2006/relationships/hyperlink" Target="https://amkor.com/?utm_source=chatgpt.com" TargetMode="External"/><Relationship Id="rId9" Type="http://schemas.openxmlformats.org/officeDocument/2006/relationships/hyperlink" Target="https://hanamicron.com/eng/index.do?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E1332-E72A-A641-9208-FB8E5CFF8197}">
  <dimension ref="A1:P17"/>
  <sheetViews>
    <sheetView zoomScale="75" zoomScaleNormal="44" workbookViewId="0">
      <selection activeCell="C7" sqref="C7"/>
    </sheetView>
  </sheetViews>
  <sheetFormatPr baseColWidth="10" defaultColWidth="35.83203125" defaultRowHeight="16" x14ac:dyDescent="0.2"/>
  <cols>
    <col min="1" max="16384" width="35.83203125" style="3"/>
  </cols>
  <sheetData>
    <row r="1" spans="1:16" ht="17"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68" x14ac:dyDescent="0.2">
      <c r="A2" s="1" t="s">
        <v>16</v>
      </c>
      <c r="B2" s="1" t="s">
        <v>17</v>
      </c>
      <c r="C2" s="1" t="s">
        <v>18</v>
      </c>
      <c r="D2" s="1" t="s">
        <v>19</v>
      </c>
      <c r="E2" s="1" t="s">
        <v>20</v>
      </c>
      <c r="F2" s="1" t="s">
        <v>21</v>
      </c>
      <c r="G2" s="1" t="s">
        <v>22</v>
      </c>
      <c r="H2" s="1" t="s">
        <v>23</v>
      </c>
      <c r="I2" s="1" t="s">
        <v>21</v>
      </c>
      <c r="J2" s="1" t="s">
        <v>24</v>
      </c>
      <c r="K2" s="1" t="s">
        <v>25</v>
      </c>
      <c r="L2" s="1" t="s">
        <v>26</v>
      </c>
      <c r="M2" s="1" t="s">
        <v>27</v>
      </c>
      <c r="N2" s="1" t="s">
        <v>28</v>
      </c>
      <c r="O2" s="1" t="s">
        <v>29</v>
      </c>
      <c r="P2" s="1" t="s">
        <v>30</v>
      </c>
    </row>
    <row r="3" spans="1:16" ht="102" x14ac:dyDescent="0.2">
      <c r="A3" s="1" t="s">
        <v>31</v>
      </c>
      <c r="B3" s="1" t="s">
        <v>32</v>
      </c>
      <c r="C3" s="1" t="s">
        <v>18</v>
      </c>
      <c r="D3" s="1" t="s">
        <v>33</v>
      </c>
      <c r="E3" s="1" t="s">
        <v>34</v>
      </c>
      <c r="F3" s="1" t="s">
        <v>21</v>
      </c>
      <c r="G3" s="1" t="s">
        <v>35</v>
      </c>
      <c r="H3" s="1" t="s">
        <v>24</v>
      </c>
      <c r="I3" s="1" t="s">
        <v>36</v>
      </c>
      <c r="J3" s="1" t="s">
        <v>24</v>
      </c>
      <c r="K3" s="1" t="s">
        <v>37</v>
      </c>
      <c r="L3" s="1" t="s">
        <v>26</v>
      </c>
      <c r="M3" s="1" t="s">
        <v>38</v>
      </c>
      <c r="N3" s="1" t="s">
        <v>39</v>
      </c>
      <c r="O3" s="1" t="s">
        <v>29</v>
      </c>
      <c r="P3" s="1" t="s">
        <v>40</v>
      </c>
    </row>
    <row r="4" spans="1:16" ht="85" x14ac:dyDescent="0.2">
      <c r="A4" s="1" t="s">
        <v>41</v>
      </c>
      <c r="B4" s="1" t="s">
        <v>42</v>
      </c>
      <c r="C4" s="1" t="s">
        <v>43</v>
      </c>
      <c r="D4" s="1" t="s">
        <v>44</v>
      </c>
      <c r="E4" s="1" t="s">
        <v>21</v>
      </c>
      <c r="F4" s="1" t="s">
        <v>21</v>
      </c>
      <c r="G4" s="1" t="s">
        <v>45</v>
      </c>
      <c r="H4" s="1" t="s">
        <v>46</v>
      </c>
      <c r="I4" s="1" t="s">
        <v>47</v>
      </c>
      <c r="J4" s="1" t="s">
        <v>24</v>
      </c>
      <c r="K4" s="1" t="s">
        <v>48</v>
      </c>
      <c r="L4" s="1" t="s">
        <v>26</v>
      </c>
      <c r="M4" s="1" t="s">
        <v>49</v>
      </c>
      <c r="N4" s="1" t="s">
        <v>50</v>
      </c>
      <c r="O4" s="1" t="s">
        <v>51</v>
      </c>
      <c r="P4" s="1" t="s">
        <v>52</v>
      </c>
    </row>
    <row r="5" spans="1:16" ht="68" x14ac:dyDescent="0.2">
      <c r="A5" s="1" t="s">
        <v>53</v>
      </c>
      <c r="B5" s="1" t="s">
        <v>54</v>
      </c>
      <c r="C5" s="1" t="s">
        <v>18</v>
      </c>
      <c r="D5" s="1" t="s">
        <v>55</v>
      </c>
      <c r="E5" s="1" t="s">
        <v>56</v>
      </c>
      <c r="F5" s="1" t="s">
        <v>21</v>
      </c>
      <c r="G5" s="1" t="s">
        <v>57</v>
      </c>
      <c r="H5" s="1" t="s">
        <v>58</v>
      </c>
      <c r="I5" s="1" t="s">
        <v>21</v>
      </c>
      <c r="J5" s="1" t="s">
        <v>59</v>
      </c>
      <c r="K5" s="1" t="s">
        <v>60</v>
      </c>
      <c r="L5" s="1" t="s">
        <v>61</v>
      </c>
      <c r="M5" s="1" t="s">
        <v>62</v>
      </c>
      <c r="N5" s="1" t="s">
        <v>63</v>
      </c>
      <c r="O5" s="1" t="s">
        <v>29</v>
      </c>
      <c r="P5" s="1" t="s">
        <v>64</v>
      </c>
    </row>
    <row r="6" spans="1:16" ht="68" x14ac:dyDescent="0.2">
      <c r="A6" s="1" t="s">
        <v>65</v>
      </c>
      <c r="B6" s="1" t="s">
        <v>66</v>
      </c>
      <c r="C6" s="1" t="s">
        <v>43</v>
      </c>
      <c r="D6" s="1" t="s">
        <v>67</v>
      </c>
      <c r="E6" s="1" t="s">
        <v>68</v>
      </c>
      <c r="F6" s="1" t="s">
        <v>21</v>
      </c>
      <c r="G6" s="1" t="s">
        <v>69</v>
      </c>
      <c r="H6" s="1" t="s">
        <v>70</v>
      </c>
      <c r="I6" s="1" t="s">
        <v>71</v>
      </c>
      <c r="J6" s="1" t="s">
        <v>24</v>
      </c>
      <c r="K6" s="1" t="s">
        <v>72</v>
      </c>
      <c r="L6" s="1" t="s">
        <v>73</v>
      </c>
      <c r="M6" s="1" t="s">
        <v>74</v>
      </c>
      <c r="N6" s="1" t="s">
        <v>75</v>
      </c>
      <c r="O6" s="1" t="s">
        <v>29</v>
      </c>
      <c r="P6" s="1" t="s">
        <v>76</v>
      </c>
    </row>
    <row r="7" spans="1:16" ht="102" x14ac:dyDescent="0.2">
      <c r="A7" s="1" t="s">
        <v>77</v>
      </c>
      <c r="B7" s="1" t="s">
        <v>78</v>
      </c>
      <c r="C7" s="1" t="s">
        <v>79</v>
      </c>
      <c r="D7" s="1" t="s">
        <v>80</v>
      </c>
      <c r="E7" s="1" t="s">
        <v>81</v>
      </c>
      <c r="F7" s="1" t="s">
        <v>21</v>
      </c>
      <c r="G7" s="1" t="s">
        <v>82</v>
      </c>
      <c r="H7" s="1" t="s">
        <v>24</v>
      </c>
      <c r="I7" s="1" t="s">
        <v>83</v>
      </c>
      <c r="J7" s="1" t="s">
        <v>84</v>
      </c>
      <c r="K7" s="1" t="s">
        <v>85</v>
      </c>
      <c r="L7" s="1" t="s">
        <v>86</v>
      </c>
      <c r="M7" s="1" t="s">
        <v>87</v>
      </c>
      <c r="N7" s="1" t="s">
        <v>88</v>
      </c>
      <c r="O7" s="1" t="s">
        <v>29</v>
      </c>
      <c r="P7" s="1" t="s">
        <v>89</v>
      </c>
    </row>
    <row r="8" spans="1:16" ht="51" x14ac:dyDescent="0.2">
      <c r="A8" s="1" t="s">
        <v>90</v>
      </c>
      <c r="B8" s="1" t="s">
        <v>91</v>
      </c>
      <c r="C8" s="1" t="s">
        <v>92</v>
      </c>
      <c r="D8" s="1" t="s">
        <v>93</v>
      </c>
      <c r="E8" s="1" t="s">
        <v>94</v>
      </c>
      <c r="F8" s="1" t="s">
        <v>21</v>
      </c>
      <c r="G8" s="1" t="s">
        <v>95</v>
      </c>
      <c r="H8" s="1" t="s">
        <v>24</v>
      </c>
      <c r="I8" s="1" t="s">
        <v>96</v>
      </c>
      <c r="J8" s="1" t="s">
        <v>24</v>
      </c>
      <c r="K8" s="1" t="s">
        <v>97</v>
      </c>
      <c r="L8" s="1" t="s">
        <v>26</v>
      </c>
      <c r="M8" s="1" t="s">
        <v>98</v>
      </c>
      <c r="N8" s="1" t="s">
        <v>99</v>
      </c>
      <c r="O8" s="1" t="s">
        <v>29</v>
      </c>
      <c r="P8" s="1" t="s">
        <v>100</v>
      </c>
    </row>
    <row r="9" spans="1:16" ht="85" x14ac:dyDescent="0.2">
      <c r="A9" s="1" t="s">
        <v>101</v>
      </c>
      <c r="B9" s="1" t="s">
        <v>102</v>
      </c>
      <c r="C9" s="1" t="s">
        <v>103</v>
      </c>
      <c r="D9" s="1" t="s">
        <v>104</v>
      </c>
      <c r="E9" s="1" t="s">
        <v>105</v>
      </c>
      <c r="F9" s="1" t="s">
        <v>106</v>
      </c>
      <c r="G9" s="1" t="s">
        <v>107</v>
      </c>
      <c r="H9" s="1" t="s">
        <v>108</v>
      </c>
      <c r="I9" s="1" t="s">
        <v>21</v>
      </c>
      <c r="J9" s="1" t="s">
        <v>109</v>
      </c>
      <c r="K9" s="1" t="s">
        <v>110</v>
      </c>
      <c r="L9" s="1" t="s">
        <v>111</v>
      </c>
      <c r="M9" s="1" t="s">
        <v>112</v>
      </c>
      <c r="N9" s="1" t="s">
        <v>113</v>
      </c>
      <c r="O9" s="1" t="s">
        <v>29</v>
      </c>
      <c r="P9" s="1" t="s">
        <v>114</v>
      </c>
    </row>
    <row r="10" spans="1:16" ht="51" x14ac:dyDescent="0.2">
      <c r="A10" s="1" t="s">
        <v>115</v>
      </c>
      <c r="B10" s="1" t="s">
        <v>116</v>
      </c>
      <c r="C10" s="1" t="s">
        <v>103</v>
      </c>
      <c r="D10" s="1" t="s">
        <v>117</v>
      </c>
      <c r="E10" s="1" t="s">
        <v>118</v>
      </c>
      <c r="F10" s="1" t="s">
        <v>21</v>
      </c>
      <c r="G10" s="1" t="s">
        <v>119</v>
      </c>
      <c r="H10" s="1" t="s">
        <v>120</v>
      </c>
      <c r="I10" s="1" t="s">
        <v>121</v>
      </c>
      <c r="J10" s="1" t="s">
        <v>121</v>
      </c>
      <c r="K10" s="1" t="s">
        <v>122</v>
      </c>
      <c r="L10" s="1" t="s">
        <v>123</v>
      </c>
      <c r="M10" s="1" t="s">
        <v>124</v>
      </c>
      <c r="N10" s="1" t="s">
        <v>125</v>
      </c>
      <c r="O10" s="1" t="s">
        <v>51</v>
      </c>
      <c r="P10" s="1" t="s">
        <v>126</v>
      </c>
    </row>
    <row r="11" spans="1:16" ht="85" x14ac:dyDescent="0.2">
      <c r="A11" s="1" t="s">
        <v>127</v>
      </c>
      <c r="B11" s="1" t="s">
        <v>128</v>
      </c>
      <c r="C11" s="1" t="s">
        <v>92</v>
      </c>
      <c r="D11" s="1" t="s">
        <v>129</v>
      </c>
      <c r="E11" s="1" t="s">
        <v>130</v>
      </c>
      <c r="F11" s="1" t="s">
        <v>21</v>
      </c>
      <c r="G11" s="1" t="s">
        <v>131</v>
      </c>
      <c r="H11" s="1" t="s">
        <v>132</v>
      </c>
      <c r="I11" s="1" t="s">
        <v>133</v>
      </c>
      <c r="J11" s="1" t="s">
        <v>24</v>
      </c>
      <c r="K11" s="1" t="s">
        <v>134</v>
      </c>
      <c r="L11" s="1" t="s">
        <v>26</v>
      </c>
      <c r="M11" s="1" t="s">
        <v>135</v>
      </c>
      <c r="N11" s="1" t="s">
        <v>136</v>
      </c>
      <c r="O11" s="1" t="s">
        <v>29</v>
      </c>
      <c r="P11" s="1" t="s">
        <v>137</v>
      </c>
    </row>
    <row r="17" spans="13:13" x14ac:dyDescent="0.2">
      <c r="M17"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BF67F-1D3B-6545-AFCF-DDA9652D0689}">
  <dimension ref="A1:Q11"/>
  <sheetViews>
    <sheetView topLeftCell="J1" zoomScale="75" workbookViewId="0">
      <selection activeCell="B11" sqref="B11"/>
    </sheetView>
  </sheetViews>
  <sheetFormatPr baseColWidth="10" defaultColWidth="35.83203125" defaultRowHeight="16" x14ac:dyDescent="0.2"/>
  <cols>
    <col min="1" max="16384" width="35.83203125" style="4"/>
  </cols>
  <sheetData>
    <row r="1" spans="1:17" ht="34" x14ac:dyDescent="0.2">
      <c r="A1" s="7" t="s">
        <v>0</v>
      </c>
      <c r="B1" s="7" t="s">
        <v>1</v>
      </c>
      <c r="C1" s="7" t="s">
        <v>138</v>
      </c>
      <c r="D1" s="7" t="s">
        <v>139</v>
      </c>
      <c r="E1" s="7" t="s">
        <v>140</v>
      </c>
      <c r="F1" s="7" t="s">
        <v>141</v>
      </c>
      <c r="G1" s="7" t="s">
        <v>142</v>
      </c>
      <c r="H1" s="7" t="s">
        <v>143</v>
      </c>
      <c r="I1" s="7" t="s">
        <v>696</v>
      </c>
      <c r="J1" s="7" t="s">
        <v>144</v>
      </c>
      <c r="K1" s="7" t="s">
        <v>145</v>
      </c>
      <c r="L1" s="7" t="s">
        <v>146</v>
      </c>
      <c r="M1" s="7" t="s">
        <v>147</v>
      </c>
      <c r="N1" s="7" t="s">
        <v>148</v>
      </c>
      <c r="O1" s="7" t="s">
        <v>149</v>
      </c>
      <c r="P1" s="7" t="s">
        <v>150</v>
      </c>
      <c r="Q1" s="7" t="s">
        <v>15</v>
      </c>
    </row>
    <row r="2" spans="1:17" ht="85" x14ac:dyDescent="0.2">
      <c r="A2" s="4" t="s">
        <v>16</v>
      </c>
      <c r="B2" s="4" t="s">
        <v>17</v>
      </c>
      <c r="C2" s="4" t="s">
        <v>151</v>
      </c>
      <c r="D2" s="4">
        <v>1984</v>
      </c>
      <c r="E2" s="4" t="s">
        <v>152</v>
      </c>
      <c r="F2" s="4" t="s">
        <v>153</v>
      </c>
      <c r="G2" s="4" t="s">
        <v>154</v>
      </c>
      <c r="H2" s="4" t="s">
        <v>155</v>
      </c>
      <c r="I2" s="9">
        <v>18859254504</v>
      </c>
      <c r="J2" s="4" t="s">
        <v>156</v>
      </c>
      <c r="K2" s="4" t="s">
        <v>157</v>
      </c>
      <c r="L2" s="4" t="s">
        <v>158</v>
      </c>
      <c r="M2" s="4" t="s">
        <v>159</v>
      </c>
      <c r="N2" s="4" t="s">
        <v>160</v>
      </c>
      <c r="O2" s="4" t="s">
        <v>161</v>
      </c>
      <c r="P2" s="4" t="s">
        <v>162</v>
      </c>
      <c r="Q2" s="4" t="s">
        <v>163</v>
      </c>
    </row>
    <row r="3" spans="1:17" ht="68" x14ac:dyDescent="0.2">
      <c r="A3" s="4" t="s">
        <v>31</v>
      </c>
      <c r="B3" s="4" t="s">
        <v>32</v>
      </c>
      <c r="C3" s="4" t="s">
        <v>164</v>
      </c>
      <c r="D3" s="4">
        <v>1972</v>
      </c>
      <c r="E3" s="4" t="s">
        <v>152</v>
      </c>
      <c r="F3" s="4" t="s">
        <v>165</v>
      </c>
      <c r="G3" s="4" t="s">
        <v>166</v>
      </c>
      <c r="H3" s="4" t="s">
        <v>167</v>
      </c>
      <c r="I3" s="8">
        <v>5319095320</v>
      </c>
      <c r="J3" s="4" t="s">
        <v>168</v>
      </c>
      <c r="K3" s="4" t="s">
        <v>169</v>
      </c>
      <c r="L3" s="4" t="s">
        <v>170</v>
      </c>
      <c r="M3" s="4" t="s">
        <v>171</v>
      </c>
      <c r="N3" s="4" t="s">
        <v>172</v>
      </c>
      <c r="O3" s="4" t="s">
        <v>173</v>
      </c>
      <c r="P3" s="4" t="s">
        <v>174</v>
      </c>
      <c r="Q3" s="4" t="s">
        <v>175</v>
      </c>
    </row>
    <row r="4" spans="1:17" ht="85" x14ac:dyDescent="0.2">
      <c r="A4" s="4" t="s">
        <v>41</v>
      </c>
      <c r="B4" s="4" t="s">
        <v>42</v>
      </c>
      <c r="C4" s="4" t="s">
        <v>164</v>
      </c>
      <c r="D4" s="4">
        <v>2003</v>
      </c>
      <c r="E4" s="4" t="s">
        <v>152</v>
      </c>
      <c r="F4" s="4" t="s">
        <v>176</v>
      </c>
      <c r="G4" s="4" t="s">
        <v>177</v>
      </c>
      <c r="H4" s="4" t="s">
        <v>167</v>
      </c>
      <c r="I4" s="8">
        <v>2139175654</v>
      </c>
      <c r="J4" s="4" t="s">
        <v>178</v>
      </c>
      <c r="K4" s="4" t="s">
        <v>179</v>
      </c>
      <c r="L4" s="4" t="s">
        <v>180</v>
      </c>
      <c r="M4" s="4" t="s">
        <v>181</v>
      </c>
      <c r="N4" s="4" t="s">
        <v>182</v>
      </c>
      <c r="O4" s="4" t="s">
        <v>183</v>
      </c>
      <c r="P4" s="4" t="s">
        <v>184</v>
      </c>
      <c r="Q4" s="4" t="s">
        <v>185</v>
      </c>
    </row>
    <row r="5" spans="1:17" ht="68" x14ac:dyDescent="0.2">
      <c r="A5" s="4" t="s">
        <v>53</v>
      </c>
      <c r="B5" s="4" t="s">
        <v>54</v>
      </c>
      <c r="C5" s="4" t="s">
        <v>186</v>
      </c>
      <c r="D5" s="4">
        <v>1968</v>
      </c>
      <c r="E5" s="4" t="s">
        <v>152</v>
      </c>
      <c r="F5" s="4" t="s">
        <v>187</v>
      </c>
      <c r="G5" s="4" t="s">
        <v>188</v>
      </c>
      <c r="H5" s="4" t="s">
        <v>189</v>
      </c>
      <c r="I5" s="9">
        <v>6317692000</v>
      </c>
      <c r="J5" s="4" t="s">
        <v>190</v>
      </c>
      <c r="K5" s="4" t="s">
        <v>191</v>
      </c>
      <c r="L5" s="4" t="s">
        <v>192</v>
      </c>
      <c r="M5" s="4" t="s">
        <v>193</v>
      </c>
      <c r="N5" s="4" t="s">
        <v>194</v>
      </c>
      <c r="O5" s="4" t="s">
        <v>195</v>
      </c>
      <c r="P5" s="4" t="s">
        <v>196</v>
      </c>
      <c r="Q5" s="4" t="s">
        <v>197</v>
      </c>
    </row>
    <row r="6" spans="1:17" ht="85" x14ac:dyDescent="0.2">
      <c r="A6" s="4" t="s">
        <v>65</v>
      </c>
      <c r="B6" s="4" t="s">
        <v>66</v>
      </c>
      <c r="C6" s="4" t="s">
        <v>164</v>
      </c>
      <c r="D6" s="4">
        <v>1997</v>
      </c>
      <c r="E6" s="4" t="s">
        <v>152</v>
      </c>
      <c r="F6" s="4" t="s">
        <v>198</v>
      </c>
      <c r="G6" s="4" t="s">
        <v>199</v>
      </c>
      <c r="H6" s="4" t="s">
        <v>167</v>
      </c>
      <c r="I6" s="8">
        <v>3532553794</v>
      </c>
      <c r="J6" s="4" t="s">
        <v>200</v>
      </c>
      <c r="K6" s="4" t="s">
        <v>179</v>
      </c>
      <c r="L6" s="4" t="s">
        <v>201</v>
      </c>
      <c r="M6" s="4" t="s">
        <v>202</v>
      </c>
      <c r="N6" s="4" t="s">
        <v>203</v>
      </c>
      <c r="O6" s="4" t="s">
        <v>204</v>
      </c>
      <c r="P6" s="4" t="s">
        <v>205</v>
      </c>
      <c r="Q6" s="4" t="s">
        <v>206</v>
      </c>
    </row>
    <row r="7" spans="1:17" ht="85" x14ac:dyDescent="0.2">
      <c r="A7" s="4" t="s">
        <v>77</v>
      </c>
      <c r="B7" s="4" t="s">
        <v>78</v>
      </c>
      <c r="C7" s="4" t="s">
        <v>186</v>
      </c>
      <c r="D7" s="4" t="s">
        <v>207</v>
      </c>
      <c r="E7" s="4" t="s">
        <v>208</v>
      </c>
      <c r="F7" s="4" t="s">
        <v>209</v>
      </c>
      <c r="G7" s="4" t="s">
        <v>210</v>
      </c>
      <c r="H7" s="4" t="s">
        <v>210</v>
      </c>
      <c r="I7" s="9" t="s">
        <v>210</v>
      </c>
      <c r="J7" s="4" t="s">
        <v>211</v>
      </c>
      <c r="K7" s="4" t="s">
        <v>212</v>
      </c>
      <c r="L7" s="4" t="s">
        <v>213</v>
      </c>
      <c r="M7" s="4" t="s">
        <v>214</v>
      </c>
      <c r="N7" s="4" t="s">
        <v>215</v>
      </c>
      <c r="O7" s="4" t="s">
        <v>216</v>
      </c>
      <c r="P7" s="4" t="s">
        <v>217</v>
      </c>
      <c r="Q7" s="4" t="s">
        <v>218</v>
      </c>
    </row>
    <row r="8" spans="1:17" ht="51" x14ac:dyDescent="0.2">
      <c r="A8" s="4" t="s">
        <v>90</v>
      </c>
      <c r="B8" s="4" t="s">
        <v>91</v>
      </c>
      <c r="C8" s="4" t="s">
        <v>151</v>
      </c>
      <c r="D8" s="4">
        <v>1997</v>
      </c>
      <c r="E8" s="4" t="s">
        <v>152</v>
      </c>
      <c r="F8" s="4" t="s">
        <v>219</v>
      </c>
      <c r="G8" s="4" t="s">
        <v>220</v>
      </c>
      <c r="H8" s="4" t="s">
        <v>155</v>
      </c>
      <c r="I8" s="9">
        <v>2322208636</v>
      </c>
      <c r="J8" s="4" t="s">
        <v>221</v>
      </c>
      <c r="K8" s="4" t="s">
        <v>222</v>
      </c>
      <c r="L8" s="4" t="s">
        <v>223</v>
      </c>
      <c r="M8" s="4" t="s">
        <v>178</v>
      </c>
      <c r="N8" s="4" t="s">
        <v>224</v>
      </c>
      <c r="O8" s="4" t="s">
        <v>225</v>
      </c>
      <c r="P8" s="4" t="s">
        <v>226</v>
      </c>
      <c r="Q8" s="4" t="s">
        <v>227</v>
      </c>
    </row>
    <row r="9" spans="1:17" ht="68" x14ac:dyDescent="0.2">
      <c r="A9" s="4" t="s">
        <v>101</v>
      </c>
      <c r="B9" s="4" t="s">
        <v>102</v>
      </c>
      <c r="C9" s="4" t="s">
        <v>228</v>
      </c>
      <c r="D9" s="4">
        <v>1997</v>
      </c>
      <c r="E9" s="4" t="s">
        <v>208</v>
      </c>
      <c r="F9" s="4" t="s">
        <v>209</v>
      </c>
      <c r="G9" s="4" t="s">
        <v>210</v>
      </c>
      <c r="H9" s="4" t="s">
        <v>210</v>
      </c>
      <c r="I9" s="9" t="s">
        <v>210</v>
      </c>
      <c r="J9" s="4" t="s">
        <v>229</v>
      </c>
      <c r="K9" s="4" t="s">
        <v>230</v>
      </c>
      <c r="L9" s="4" t="s">
        <v>231</v>
      </c>
      <c r="M9" s="4" t="s">
        <v>232</v>
      </c>
      <c r="N9" s="4" t="s">
        <v>233</v>
      </c>
      <c r="O9" s="4" t="s">
        <v>234</v>
      </c>
      <c r="P9" s="4" t="s">
        <v>235</v>
      </c>
      <c r="Q9" s="4" t="s">
        <v>236</v>
      </c>
    </row>
    <row r="10" spans="1:17" ht="85" x14ac:dyDescent="0.2">
      <c r="A10" s="4" t="s">
        <v>115</v>
      </c>
      <c r="B10" s="4" t="s">
        <v>116</v>
      </c>
      <c r="C10" s="4" t="s">
        <v>237</v>
      </c>
      <c r="D10" s="4">
        <v>2001</v>
      </c>
      <c r="E10" s="4" t="s">
        <v>152</v>
      </c>
      <c r="F10" s="4" t="s">
        <v>238</v>
      </c>
      <c r="G10" s="4" t="s">
        <v>239</v>
      </c>
      <c r="H10" s="4" t="s">
        <v>240</v>
      </c>
      <c r="I10" s="9">
        <v>828242500</v>
      </c>
      <c r="J10" s="5">
        <v>4000</v>
      </c>
      <c r="K10" s="4" t="s">
        <v>241</v>
      </c>
      <c r="L10" s="4" t="s">
        <v>242</v>
      </c>
      <c r="M10" s="4" t="s">
        <v>243</v>
      </c>
      <c r="N10" s="4" t="s">
        <v>244</v>
      </c>
      <c r="O10" s="4" t="s">
        <v>245</v>
      </c>
      <c r="P10" s="4" t="s">
        <v>246</v>
      </c>
      <c r="Q10" s="4" t="s">
        <v>247</v>
      </c>
    </row>
    <row r="11" spans="1:17" ht="51" x14ac:dyDescent="0.2">
      <c r="A11" s="4" t="s">
        <v>127</v>
      </c>
      <c r="B11" s="4" t="s">
        <v>128</v>
      </c>
      <c r="C11" s="4" t="s">
        <v>151</v>
      </c>
      <c r="D11" s="4">
        <v>1987</v>
      </c>
      <c r="E11" s="4" t="s">
        <v>152</v>
      </c>
      <c r="F11" s="4" t="s">
        <v>248</v>
      </c>
      <c r="G11" s="4" t="s">
        <v>249</v>
      </c>
      <c r="H11" s="4" t="s">
        <v>155</v>
      </c>
      <c r="I11" s="9">
        <v>850647686</v>
      </c>
      <c r="J11" s="4" t="s">
        <v>250</v>
      </c>
      <c r="K11" s="4" t="s">
        <v>251</v>
      </c>
      <c r="L11" s="4" t="s">
        <v>252</v>
      </c>
      <c r="M11" s="4" t="s">
        <v>253</v>
      </c>
      <c r="N11" s="4" t="s">
        <v>254</v>
      </c>
      <c r="O11" s="4" t="s">
        <v>255</v>
      </c>
      <c r="P11" s="4" t="s">
        <v>256</v>
      </c>
      <c r="Q11" s="4" t="s">
        <v>257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52A3-22D1-E142-A6A5-5251D382C9A3}">
  <dimension ref="A1:J26"/>
  <sheetViews>
    <sheetView topLeftCell="F1" zoomScale="80" zoomScaleNormal="80" workbookViewId="0">
      <selection activeCell="D15" sqref="D15"/>
    </sheetView>
  </sheetViews>
  <sheetFormatPr baseColWidth="10" defaultColWidth="35.83203125" defaultRowHeight="16" x14ac:dyDescent="0.2"/>
  <cols>
    <col min="1" max="16384" width="35.83203125" style="4"/>
  </cols>
  <sheetData>
    <row r="1" spans="1:10" ht="17" x14ac:dyDescent="0.2">
      <c r="A1" s="2" t="s">
        <v>258</v>
      </c>
      <c r="B1" s="2" t="s">
        <v>259</v>
      </c>
      <c r="C1" s="2" t="s">
        <v>260</v>
      </c>
      <c r="D1" s="2" t="s">
        <v>261</v>
      </c>
      <c r="E1" s="2" t="s">
        <v>262</v>
      </c>
      <c r="F1" s="2" t="s">
        <v>263</v>
      </c>
      <c r="G1" s="2" t="s">
        <v>264</v>
      </c>
      <c r="H1" s="2" t="s">
        <v>265</v>
      </c>
      <c r="I1" s="2" t="s">
        <v>266</v>
      </c>
      <c r="J1" s="2" t="s">
        <v>15</v>
      </c>
    </row>
    <row r="2" spans="1:10" ht="51" x14ac:dyDescent="0.2">
      <c r="A2" s="1" t="s">
        <v>151</v>
      </c>
      <c r="B2" s="1" t="s">
        <v>268</v>
      </c>
      <c r="C2" s="1" t="s">
        <v>269</v>
      </c>
      <c r="D2" s="1" t="s">
        <v>269</v>
      </c>
      <c r="E2" s="1" t="s">
        <v>269</v>
      </c>
      <c r="F2" s="1" t="s">
        <v>270</v>
      </c>
      <c r="G2" s="1" t="s">
        <v>271</v>
      </c>
      <c r="H2" s="1" t="s">
        <v>272</v>
      </c>
      <c r="I2" s="1" t="s">
        <v>273</v>
      </c>
      <c r="J2" s="1" t="s">
        <v>274</v>
      </c>
    </row>
    <row r="3" spans="1:10" ht="51" x14ac:dyDescent="0.2">
      <c r="A3" s="1" t="s">
        <v>164</v>
      </c>
      <c r="B3" s="1" t="s">
        <v>275</v>
      </c>
      <c r="C3" s="1" t="s">
        <v>276</v>
      </c>
      <c r="D3" s="1" t="s">
        <v>277</v>
      </c>
      <c r="E3" s="1" t="s">
        <v>278</v>
      </c>
      <c r="F3" s="1" t="s">
        <v>279</v>
      </c>
      <c r="G3" s="1" t="s">
        <v>280</v>
      </c>
      <c r="H3" s="1" t="s">
        <v>281</v>
      </c>
      <c r="I3" s="1" t="s">
        <v>282</v>
      </c>
      <c r="J3" s="1" t="s">
        <v>283</v>
      </c>
    </row>
    <row r="4" spans="1:10" ht="51" x14ac:dyDescent="0.2">
      <c r="A4" s="1" t="s">
        <v>186</v>
      </c>
      <c r="B4" s="1" t="s">
        <v>284</v>
      </c>
      <c r="C4" s="1" t="s">
        <v>285</v>
      </c>
      <c r="D4" s="1" t="s">
        <v>286</v>
      </c>
      <c r="E4" s="1" t="s">
        <v>287</v>
      </c>
      <c r="F4" s="1" t="s">
        <v>288</v>
      </c>
      <c r="G4" s="1" t="s">
        <v>289</v>
      </c>
      <c r="H4" s="1" t="s">
        <v>290</v>
      </c>
      <c r="I4" s="1" t="s">
        <v>291</v>
      </c>
      <c r="J4" s="1" t="s">
        <v>292</v>
      </c>
    </row>
    <row r="5" spans="1:10" ht="51" x14ac:dyDescent="0.2">
      <c r="A5" s="1" t="s">
        <v>228</v>
      </c>
      <c r="B5" s="1" t="s">
        <v>293</v>
      </c>
      <c r="C5" s="1" t="s">
        <v>294</v>
      </c>
      <c r="D5" s="1" t="s">
        <v>295</v>
      </c>
      <c r="E5" s="1" t="s">
        <v>296</v>
      </c>
      <c r="F5" s="1" t="s">
        <v>297</v>
      </c>
      <c r="G5" s="1" t="s">
        <v>298</v>
      </c>
      <c r="H5" s="1" t="s">
        <v>299</v>
      </c>
      <c r="I5" s="1" t="s">
        <v>300</v>
      </c>
      <c r="J5" s="1" t="s">
        <v>301</v>
      </c>
    </row>
    <row r="6" spans="1:10" ht="51" x14ac:dyDescent="0.2">
      <c r="A6" s="1" t="s">
        <v>237</v>
      </c>
      <c r="B6" s="1" t="s">
        <v>284</v>
      </c>
      <c r="C6" s="1" t="s">
        <v>302</v>
      </c>
      <c r="D6" s="1" t="s">
        <v>303</v>
      </c>
      <c r="E6" s="1" t="s">
        <v>304</v>
      </c>
      <c r="F6" s="1" t="s">
        <v>305</v>
      </c>
      <c r="G6" s="1" t="s">
        <v>306</v>
      </c>
      <c r="H6" s="1" t="s">
        <v>307</v>
      </c>
      <c r="I6" s="1" t="s">
        <v>308</v>
      </c>
      <c r="J6" s="1" t="s">
        <v>309</v>
      </c>
    </row>
    <row r="7" spans="1:10" ht="34" x14ac:dyDescent="0.2">
      <c r="A7" s="1" t="s">
        <v>310</v>
      </c>
      <c r="B7" s="1" t="s">
        <v>311</v>
      </c>
      <c r="C7" s="1" t="s">
        <v>312</v>
      </c>
      <c r="D7" s="1" t="s">
        <v>313</v>
      </c>
      <c r="E7" s="1" t="s">
        <v>314</v>
      </c>
      <c r="F7" s="1" t="s">
        <v>315</v>
      </c>
      <c r="G7" s="1" t="s">
        <v>316</v>
      </c>
      <c r="H7" s="1" t="s">
        <v>317</v>
      </c>
      <c r="I7" s="1" t="s">
        <v>318</v>
      </c>
      <c r="J7" s="1" t="s">
        <v>319</v>
      </c>
    </row>
    <row r="8" spans="1:10" ht="51" x14ac:dyDescent="0.2">
      <c r="A8" s="1" t="s">
        <v>320</v>
      </c>
      <c r="B8" s="1" t="s">
        <v>321</v>
      </c>
      <c r="C8" s="1" t="s">
        <v>322</v>
      </c>
      <c r="D8" s="1" t="s">
        <v>323</v>
      </c>
      <c r="E8" s="1" t="s">
        <v>324</v>
      </c>
      <c r="F8" s="1" t="s">
        <v>325</v>
      </c>
      <c r="G8" s="1" t="s">
        <v>326</v>
      </c>
      <c r="H8" s="1" t="s">
        <v>327</v>
      </c>
      <c r="I8" s="1" t="s">
        <v>328</v>
      </c>
      <c r="J8" s="1" t="s">
        <v>329</v>
      </c>
    </row>
    <row r="9" spans="1:10" ht="51" x14ac:dyDescent="0.2">
      <c r="A9" s="1" t="s">
        <v>330</v>
      </c>
      <c r="B9" s="1" t="s">
        <v>311</v>
      </c>
      <c r="C9" s="1" t="s">
        <v>331</v>
      </c>
      <c r="D9" s="1" t="s">
        <v>332</v>
      </c>
      <c r="E9" s="1" t="s">
        <v>333</v>
      </c>
      <c r="F9" s="1" t="s">
        <v>334</v>
      </c>
      <c r="G9" s="1" t="s">
        <v>335</v>
      </c>
      <c r="H9" s="1" t="s">
        <v>336</v>
      </c>
      <c r="I9" s="1" t="s">
        <v>337</v>
      </c>
      <c r="J9" s="1" t="s">
        <v>338</v>
      </c>
    </row>
    <row r="10" spans="1:10" ht="51" x14ac:dyDescent="0.2">
      <c r="A10" s="1" t="s">
        <v>339</v>
      </c>
      <c r="B10" s="1" t="s">
        <v>340</v>
      </c>
      <c r="C10" s="1" t="s">
        <v>341</v>
      </c>
      <c r="D10" s="1" t="s">
        <v>342</v>
      </c>
      <c r="E10" s="1" t="s">
        <v>343</v>
      </c>
      <c r="F10" s="1" t="s">
        <v>344</v>
      </c>
      <c r="G10" s="1" t="s">
        <v>345</v>
      </c>
      <c r="H10" s="1" t="s">
        <v>346</v>
      </c>
      <c r="I10" s="1" t="s">
        <v>347</v>
      </c>
      <c r="J10" s="1" t="s">
        <v>348</v>
      </c>
    </row>
    <row r="11" spans="1:10" ht="51" x14ac:dyDescent="0.2">
      <c r="A11" s="1" t="s">
        <v>349</v>
      </c>
      <c r="B11" s="1" t="s">
        <v>350</v>
      </c>
      <c r="C11" s="1" t="s">
        <v>351</v>
      </c>
      <c r="D11" s="1" t="s">
        <v>352</v>
      </c>
      <c r="E11" s="1" t="s">
        <v>353</v>
      </c>
      <c r="F11" s="1" t="s">
        <v>354</v>
      </c>
      <c r="G11" s="1" t="s">
        <v>355</v>
      </c>
      <c r="H11" s="1" t="s">
        <v>356</v>
      </c>
      <c r="I11" s="1" t="s">
        <v>357</v>
      </c>
      <c r="J11" s="1" t="s">
        <v>358</v>
      </c>
    </row>
    <row r="12" spans="1:10" ht="34" x14ac:dyDescent="0.2">
      <c r="A12" s="1" t="s">
        <v>359</v>
      </c>
      <c r="B12" s="1" t="s">
        <v>360</v>
      </c>
      <c r="C12" s="1" t="s">
        <v>361</v>
      </c>
      <c r="D12" s="1" t="s">
        <v>362</v>
      </c>
      <c r="E12" s="1" t="s">
        <v>363</v>
      </c>
      <c r="F12" s="1" t="s">
        <v>364</v>
      </c>
      <c r="G12" s="1" t="s">
        <v>365</v>
      </c>
      <c r="H12" s="1" t="s">
        <v>366</v>
      </c>
      <c r="I12" s="1" t="s">
        <v>367</v>
      </c>
      <c r="J12" s="1" t="s">
        <v>368</v>
      </c>
    </row>
    <row r="13" spans="1:10" ht="51" x14ac:dyDescent="0.2">
      <c r="A13" s="1" t="s">
        <v>369</v>
      </c>
      <c r="B13" s="1" t="s">
        <v>370</v>
      </c>
      <c r="C13" s="1" t="s">
        <v>371</v>
      </c>
      <c r="D13" s="1" t="s">
        <v>372</v>
      </c>
      <c r="E13" s="1" t="s">
        <v>373</v>
      </c>
      <c r="F13" s="1" t="s">
        <v>374</v>
      </c>
      <c r="G13" s="1" t="s">
        <v>375</v>
      </c>
      <c r="H13" s="1" t="s">
        <v>376</v>
      </c>
      <c r="I13" s="1" t="s">
        <v>377</v>
      </c>
      <c r="J13" s="1" t="s">
        <v>378</v>
      </c>
    </row>
    <row r="14" spans="1:10" ht="51" x14ac:dyDescent="0.2">
      <c r="A14" s="1" t="s">
        <v>379</v>
      </c>
      <c r="B14" s="1" t="s">
        <v>380</v>
      </c>
      <c r="C14" s="1" t="s">
        <v>381</v>
      </c>
      <c r="D14" s="1" t="s">
        <v>382</v>
      </c>
      <c r="E14" s="1" t="s">
        <v>383</v>
      </c>
      <c r="F14" s="1" t="s">
        <v>384</v>
      </c>
      <c r="G14" s="1" t="s">
        <v>385</v>
      </c>
      <c r="H14" s="1" t="s">
        <v>386</v>
      </c>
      <c r="I14" s="1" t="s">
        <v>387</v>
      </c>
      <c r="J14" s="1" t="s">
        <v>388</v>
      </c>
    </row>
    <row r="15" spans="1:10" ht="51" x14ac:dyDescent="0.2">
      <c r="A15" s="1" t="s">
        <v>389</v>
      </c>
      <c r="B15" s="1" t="s">
        <v>275</v>
      </c>
      <c r="C15" s="1" t="s">
        <v>390</v>
      </c>
      <c r="D15" s="1" t="s">
        <v>391</v>
      </c>
      <c r="E15" s="1" t="s">
        <v>392</v>
      </c>
      <c r="F15" s="1" t="s">
        <v>393</v>
      </c>
      <c r="G15" s="1" t="s">
        <v>394</v>
      </c>
      <c r="H15" s="1" t="s">
        <v>395</v>
      </c>
      <c r="I15" s="1" t="s">
        <v>396</v>
      </c>
      <c r="J15" s="1" t="s">
        <v>397</v>
      </c>
    </row>
    <row r="16" spans="1:10" ht="51" x14ac:dyDescent="0.2">
      <c r="A16" s="1" t="s">
        <v>398</v>
      </c>
      <c r="B16" s="1" t="s">
        <v>399</v>
      </c>
      <c r="C16" s="1" t="s">
        <v>400</v>
      </c>
      <c r="D16" s="1" t="s">
        <v>401</v>
      </c>
      <c r="E16" s="1" t="s">
        <v>402</v>
      </c>
      <c r="F16" s="1" t="s">
        <v>403</v>
      </c>
      <c r="G16" s="1" t="s">
        <v>404</v>
      </c>
      <c r="H16" s="1" t="s">
        <v>366</v>
      </c>
      <c r="I16" s="1" t="s">
        <v>405</v>
      </c>
      <c r="J16" s="1" t="s">
        <v>406</v>
      </c>
    </row>
    <row r="26" spans="7:7" ht="17" x14ac:dyDescent="0.2">
      <c r="G26" s="4" t="s">
        <v>694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59163-DBD0-FB41-9A6E-9E74B4C6C451}">
  <dimension ref="A1:H8"/>
  <sheetViews>
    <sheetView zoomScale="57" workbookViewId="0">
      <selection activeCell="D9" sqref="D9"/>
    </sheetView>
  </sheetViews>
  <sheetFormatPr baseColWidth="10" defaultColWidth="35.83203125" defaultRowHeight="16" x14ac:dyDescent="0.2"/>
  <cols>
    <col min="1" max="4" width="35.83203125" style="4"/>
    <col min="5" max="5" width="35.83203125" style="4" customWidth="1"/>
    <col min="6" max="7" width="35.83203125" style="4"/>
    <col min="8" max="8" width="55.33203125" style="4" customWidth="1"/>
    <col min="9" max="16384" width="35.83203125" style="4"/>
  </cols>
  <sheetData>
    <row r="1" spans="1:8" ht="34" x14ac:dyDescent="0.2">
      <c r="A1" s="13" t="s">
        <v>732</v>
      </c>
      <c r="B1" s="13" t="s">
        <v>733</v>
      </c>
      <c r="C1" s="7" t="s">
        <v>702</v>
      </c>
      <c r="D1" s="7" t="s">
        <v>703</v>
      </c>
      <c r="E1" s="7" t="s">
        <v>704</v>
      </c>
      <c r="F1" s="7" t="s">
        <v>267</v>
      </c>
      <c r="G1" s="7" t="s">
        <v>15</v>
      </c>
      <c r="H1" s="20" t="s">
        <v>736</v>
      </c>
    </row>
    <row r="2" spans="1:8" ht="153" x14ac:dyDescent="0.2">
      <c r="A2" s="3" t="s">
        <v>734</v>
      </c>
      <c r="B2" s="11">
        <v>0.2</v>
      </c>
      <c r="C2" s="4" t="s">
        <v>705</v>
      </c>
      <c r="D2" s="4" t="s">
        <v>706</v>
      </c>
      <c r="E2" s="4" t="s">
        <v>707</v>
      </c>
      <c r="F2" s="4" t="s">
        <v>708</v>
      </c>
      <c r="G2" s="4" t="s">
        <v>709</v>
      </c>
      <c r="H2" s="20"/>
    </row>
    <row r="3" spans="1:8" ht="136" x14ac:dyDescent="0.2">
      <c r="A3" s="3" t="s">
        <v>699</v>
      </c>
      <c r="B3" s="11">
        <v>0.15</v>
      </c>
      <c r="C3" s="4" t="s">
        <v>29</v>
      </c>
      <c r="D3" s="4" t="s">
        <v>710</v>
      </c>
      <c r="E3" s="4" t="s">
        <v>711</v>
      </c>
      <c r="F3" s="4" t="s">
        <v>712</v>
      </c>
      <c r="G3" s="4" t="s">
        <v>713</v>
      </c>
      <c r="H3" s="20"/>
    </row>
    <row r="4" spans="1:8" ht="136" x14ac:dyDescent="0.2">
      <c r="A4" s="3" t="s">
        <v>714</v>
      </c>
      <c r="B4" s="11">
        <v>0.16</v>
      </c>
      <c r="C4" s="4" t="s">
        <v>29</v>
      </c>
      <c r="D4" s="4" t="s">
        <v>715</v>
      </c>
      <c r="E4" s="4" t="s">
        <v>731</v>
      </c>
      <c r="F4" s="4" t="s">
        <v>716</v>
      </c>
      <c r="G4" s="4" t="s">
        <v>717</v>
      </c>
      <c r="H4" s="20"/>
    </row>
    <row r="5" spans="1:8" ht="136" x14ac:dyDescent="0.2">
      <c r="A5" s="3" t="s">
        <v>697</v>
      </c>
      <c r="B5" s="11">
        <v>0.17</v>
      </c>
      <c r="C5" s="4" t="s">
        <v>29</v>
      </c>
      <c r="D5" s="4" t="s">
        <v>718</v>
      </c>
      <c r="E5" s="4" t="s">
        <v>730</v>
      </c>
      <c r="F5" s="4" t="s">
        <v>719</v>
      </c>
      <c r="G5" s="4" t="s">
        <v>720</v>
      </c>
      <c r="H5" s="20"/>
    </row>
    <row r="6" spans="1:8" ht="136" x14ac:dyDescent="0.2">
      <c r="A6" s="3" t="s">
        <v>698</v>
      </c>
      <c r="B6" s="11">
        <v>0.12</v>
      </c>
      <c r="C6" s="4" t="s">
        <v>51</v>
      </c>
      <c r="D6" s="4" t="s">
        <v>721</v>
      </c>
      <c r="E6" s="4" t="s">
        <v>722</v>
      </c>
      <c r="F6" s="4" t="s">
        <v>723</v>
      </c>
      <c r="G6" s="4" t="s">
        <v>724</v>
      </c>
      <c r="H6" s="20"/>
    </row>
    <row r="7" spans="1:8" ht="119" x14ac:dyDescent="0.2">
      <c r="A7" s="3" t="s">
        <v>700</v>
      </c>
      <c r="B7" s="11">
        <v>0.1</v>
      </c>
      <c r="C7" s="4" t="s">
        <v>51</v>
      </c>
      <c r="D7" s="4" t="s">
        <v>725</v>
      </c>
      <c r="E7" s="4" t="s">
        <v>726</v>
      </c>
      <c r="F7" s="4" t="s">
        <v>727</v>
      </c>
      <c r="G7" s="4" t="s">
        <v>728</v>
      </c>
      <c r="H7" s="20"/>
    </row>
    <row r="8" spans="1:8" ht="204" x14ac:dyDescent="0.2">
      <c r="A8" s="3" t="s">
        <v>735</v>
      </c>
      <c r="B8" s="11">
        <v>0.1</v>
      </c>
      <c r="C8" s="4" t="s">
        <v>729</v>
      </c>
      <c r="D8" s="4" t="s">
        <v>737</v>
      </c>
      <c r="E8" s="4" t="s">
        <v>738</v>
      </c>
      <c r="F8" s="4" t="s">
        <v>739</v>
      </c>
      <c r="G8" s="4" t="s">
        <v>740</v>
      </c>
      <c r="H8" s="20"/>
    </row>
  </sheetData>
  <mergeCells count="1">
    <mergeCell ref="H1:H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7493F-57A0-304C-9699-14A0F489549C}">
  <dimension ref="A1:F11"/>
  <sheetViews>
    <sheetView workbookViewId="0">
      <selection activeCell="B15" sqref="B15"/>
    </sheetView>
  </sheetViews>
  <sheetFormatPr baseColWidth="10" defaultColWidth="35.83203125" defaultRowHeight="16" x14ac:dyDescent="0.2"/>
  <cols>
    <col min="1" max="16384" width="35.83203125" style="12"/>
  </cols>
  <sheetData>
    <row r="1" spans="1:6" ht="17" x14ac:dyDescent="0.2">
      <c r="A1" s="7" t="s">
        <v>768</v>
      </c>
      <c r="B1" s="7" t="s">
        <v>769</v>
      </c>
      <c r="C1" s="7" t="s">
        <v>748</v>
      </c>
      <c r="D1" s="7" t="s">
        <v>408</v>
      </c>
      <c r="E1" s="7" t="s">
        <v>778</v>
      </c>
      <c r="F1" s="7" t="s">
        <v>748</v>
      </c>
    </row>
    <row r="2" spans="1:6" ht="68" x14ac:dyDescent="0.2">
      <c r="A2" s="16" t="s">
        <v>186</v>
      </c>
      <c r="B2" s="16">
        <v>9</v>
      </c>
      <c r="C2" s="16" t="s">
        <v>770</v>
      </c>
      <c r="D2" s="16" t="s">
        <v>17</v>
      </c>
      <c r="E2" s="16">
        <v>6.5</v>
      </c>
      <c r="F2" s="16" t="s">
        <v>779</v>
      </c>
    </row>
    <row r="3" spans="1:6" ht="51" x14ac:dyDescent="0.2">
      <c r="A3" s="16" t="s">
        <v>228</v>
      </c>
      <c r="B3" s="16">
        <v>9</v>
      </c>
      <c r="C3" s="16" t="s">
        <v>771</v>
      </c>
      <c r="D3" s="16" t="s">
        <v>32</v>
      </c>
      <c r="E3" s="16">
        <v>4.5</v>
      </c>
      <c r="F3" s="16" t="s">
        <v>780</v>
      </c>
    </row>
    <row r="4" spans="1:6" ht="34" x14ac:dyDescent="0.2">
      <c r="A4" s="16" t="s">
        <v>349</v>
      </c>
      <c r="B4" s="16">
        <v>8.5</v>
      </c>
      <c r="C4" s="16" t="s">
        <v>772</v>
      </c>
      <c r="D4" s="16" t="s">
        <v>42</v>
      </c>
      <c r="E4" s="16">
        <v>4.5</v>
      </c>
      <c r="F4" s="16" t="s">
        <v>781</v>
      </c>
    </row>
    <row r="5" spans="1:6" ht="51" x14ac:dyDescent="0.2">
      <c r="A5" s="16" t="s">
        <v>237</v>
      </c>
      <c r="B5" s="16">
        <v>8</v>
      </c>
      <c r="C5" s="16" t="s">
        <v>773</v>
      </c>
      <c r="D5" s="16" t="s">
        <v>54</v>
      </c>
      <c r="E5" s="16">
        <v>8</v>
      </c>
      <c r="F5" s="16" t="s">
        <v>782</v>
      </c>
    </row>
    <row r="6" spans="1:6" ht="51" x14ac:dyDescent="0.2">
      <c r="A6" s="16" t="s">
        <v>320</v>
      </c>
      <c r="B6" s="16">
        <v>7.5</v>
      </c>
      <c r="C6" s="16" t="s">
        <v>774</v>
      </c>
      <c r="D6" s="16" t="s">
        <v>746</v>
      </c>
      <c r="E6" s="16">
        <v>4.5</v>
      </c>
      <c r="F6" s="16" t="s">
        <v>783</v>
      </c>
    </row>
    <row r="7" spans="1:6" ht="51" x14ac:dyDescent="0.2">
      <c r="A7" s="16" t="s">
        <v>310</v>
      </c>
      <c r="B7" s="16">
        <v>7</v>
      </c>
      <c r="C7" s="16" t="s">
        <v>775</v>
      </c>
      <c r="D7" s="16" t="s">
        <v>78</v>
      </c>
      <c r="E7" s="16">
        <v>9</v>
      </c>
      <c r="F7" s="16" t="s">
        <v>784</v>
      </c>
    </row>
    <row r="8" spans="1:6" ht="51" x14ac:dyDescent="0.2">
      <c r="A8" s="16" t="s">
        <v>151</v>
      </c>
      <c r="B8" s="16">
        <v>6</v>
      </c>
      <c r="C8" s="16" t="s">
        <v>776</v>
      </c>
      <c r="D8" s="16" t="s">
        <v>91</v>
      </c>
      <c r="E8" s="16">
        <v>6.5</v>
      </c>
      <c r="F8" s="16" t="s">
        <v>785</v>
      </c>
    </row>
    <row r="9" spans="1:6" ht="51" x14ac:dyDescent="0.2">
      <c r="A9" s="16" t="s">
        <v>164</v>
      </c>
      <c r="B9" s="16">
        <v>4</v>
      </c>
      <c r="C9" s="16" t="s">
        <v>777</v>
      </c>
      <c r="D9" s="16" t="s">
        <v>102</v>
      </c>
      <c r="E9" s="16">
        <v>7.5</v>
      </c>
      <c r="F9" s="16" t="s">
        <v>786</v>
      </c>
    </row>
    <row r="10" spans="1:6" ht="51" x14ac:dyDescent="0.2">
      <c r="A10" s="16"/>
      <c r="B10" s="16"/>
      <c r="C10" s="16"/>
      <c r="D10" s="16" t="s">
        <v>116</v>
      </c>
      <c r="E10" s="16">
        <v>7.5</v>
      </c>
      <c r="F10" s="16" t="s">
        <v>787</v>
      </c>
    </row>
    <row r="11" spans="1:6" ht="51" x14ac:dyDescent="0.2">
      <c r="A11" s="16"/>
      <c r="B11" s="16"/>
      <c r="C11" s="16"/>
      <c r="D11" s="16" t="s">
        <v>128</v>
      </c>
      <c r="E11" s="16">
        <v>6.5</v>
      </c>
      <c r="F11" s="16" t="s">
        <v>788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89E8E-51A7-9C49-A526-21D8025BC254}">
  <dimension ref="A1:F11"/>
  <sheetViews>
    <sheetView workbookViewId="0">
      <selection activeCell="D2" sqref="D2"/>
    </sheetView>
  </sheetViews>
  <sheetFormatPr baseColWidth="10" defaultRowHeight="16" x14ac:dyDescent="0.2"/>
  <cols>
    <col min="1" max="1" width="10" style="12" bestFit="1" customWidth="1"/>
    <col min="2" max="2" width="27.1640625" style="12" bestFit="1" customWidth="1"/>
    <col min="3" max="3" width="28.6640625" style="12" bestFit="1" customWidth="1"/>
    <col min="4" max="4" width="114" style="12" customWidth="1"/>
    <col min="5" max="5" width="10.83203125" style="12"/>
    <col min="6" max="6" width="52.33203125" style="12" customWidth="1"/>
    <col min="7" max="16384" width="10.83203125" style="12"/>
  </cols>
  <sheetData>
    <row r="1" spans="1:6" ht="17" x14ac:dyDescent="0.2">
      <c r="A1" s="10" t="s">
        <v>0</v>
      </c>
      <c r="B1" s="10" t="s">
        <v>408</v>
      </c>
      <c r="C1" s="10" t="s">
        <v>789</v>
      </c>
      <c r="D1" s="10" t="s">
        <v>748</v>
      </c>
      <c r="E1" s="10" t="s">
        <v>799</v>
      </c>
      <c r="F1" s="7" t="s">
        <v>800</v>
      </c>
    </row>
    <row r="2" spans="1:6" ht="51" x14ac:dyDescent="0.2">
      <c r="A2" s="12" t="s">
        <v>417</v>
      </c>
      <c r="B2" s="12" t="s">
        <v>17</v>
      </c>
      <c r="C2" s="12">
        <v>10</v>
      </c>
      <c r="D2" s="19" t="s">
        <v>891</v>
      </c>
      <c r="E2" s="12" t="s">
        <v>801</v>
      </c>
      <c r="F2" s="16" t="s">
        <v>802</v>
      </c>
    </row>
    <row r="3" spans="1:6" ht="34" x14ac:dyDescent="0.2">
      <c r="A3" s="12" t="s">
        <v>425</v>
      </c>
      <c r="B3" s="12" t="s">
        <v>32</v>
      </c>
      <c r="C3" s="12">
        <v>7</v>
      </c>
      <c r="D3" s="16" t="s">
        <v>790</v>
      </c>
      <c r="E3" s="12" t="s">
        <v>803</v>
      </c>
      <c r="F3" s="16" t="s">
        <v>804</v>
      </c>
    </row>
    <row r="4" spans="1:6" ht="34" x14ac:dyDescent="0.2">
      <c r="A4" s="12" t="s">
        <v>435</v>
      </c>
      <c r="B4" s="12" t="s">
        <v>42</v>
      </c>
      <c r="C4" s="12">
        <v>5</v>
      </c>
      <c r="D4" s="16" t="s">
        <v>791</v>
      </c>
      <c r="E4" s="12" t="s">
        <v>805</v>
      </c>
      <c r="F4" s="16" t="s">
        <v>806</v>
      </c>
    </row>
    <row r="5" spans="1:6" ht="51" x14ac:dyDescent="0.2">
      <c r="A5" s="12" t="s">
        <v>444</v>
      </c>
      <c r="B5" s="12" t="s">
        <v>54</v>
      </c>
      <c r="C5" s="12">
        <v>9</v>
      </c>
      <c r="D5" s="18" t="s">
        <v>792</v>
      </c>
      <c r="E5" s="12" t="s">
        <v>766</v>
      </c>
      <c r="F5" s="16" t="s">
        <v>807</v>
      </c>
    </row>
    <row r="6" spans="1:6" ht="34" x14ac:dyDescent="0.2">
      <c r="A6" s="12" t="s">
        <v>451</v>
      </c>
      <c r="B6" s="12" t="s">
        <v>66</v>
      </c>
      <c r="C6" s="12">
        <v>6</v>
      </c>
      <c r="D6" s="16" t="s">
        <v>793</v>
      </c>
      <c r="E6" s="12" t="s">
        <v>808</v>
      </c>
      <c r="F6" s="16" t="s">
        <v>809</v>
      </c>
    </row>
    <row r="7" spans="1:6" ht="34" x14ac:dyDescent="0.2">
      <c r="A7" s="12" t="s">
        <v>458</v>
      </c>
      <c r="B7" s="12" t="s">
        <v>78</v>
      </c>
      <c r="C7" s="12">
        <v>5</v>
      </c>
      <c r="D7" s="16" t="s">
        <v>794</v>
      </c>
    </row>
    <row r="8" spans="1:6" ht="17" x14ac:dyDescent="0.2">
      <c r="A8" s="12" t="s">
        <v>466</v>
      </c>
      <c r="B8" s="12" t="s">
        <v>91</v>
      </c>
      <c r="C8" s="12">
        <v>6</v>
      </c>
      <c r="D8" s="16" t="s">
        <v>795</v>
      </c>
    </row>
    <row r="9" spans="1:6" ht="34" x14ac:dyDescent="0.2">
      <c r="A9" s="12" t="s">
        <v>475</v>
      </c>
      <c r="B9" s="12" t="s">
        <v>102</v>
      </c>
      <c r="C9" s="12">
        <v>8</v>
      </c>
      <c r="D9" s="16" t="s">
        <v>796</v>
      </c>
    </row>
    <row r="10" spans="1:6" ht="34" x14ac:dyDescent="0.2">
      <c r="A10" s="12" t="s">
        <v>483</v>
      </c>
      <c r="B10" s="12" t="s">
        <v>116</v>
      </c>
      <c r="C10" s="12">
        <v>6</v>
      </c>
      <c r="D10" s="16" t="s">
        <v>797</v>
      </c>
    </row>
    <row r="11" spans="1:6" ht="34" x14ac:dyDescent="0.2">
      <c r="A11" s="12" t="s">
        <v>492</v>
      </c>
      <c r="B11" s="12" t="s">
        <v>128</v>
      </c>
      <c r="C11" s="12">
        <v>4</v>
      </c>
      <c r="D11" s="16" t="s">
        <v>798</v>
      </c>
    </row>
  </sheetData>
  <hyperlinks>
    <hyperlink ref="D2" r:id="rId1" tooltip="About" xr:uid="{E22B4960-E1BE-1544-887E-C3DEA0F4B6A0}"/>
    <hyperlink ref="D5" r:id="rId2" tooltip="Amkor Technology: Semiconductor Packaging &amp; Test Services" display="https://amkor.com/?utm_source=chatgpt.com" xr:uid="{6EBB18EB-C431-3044-AD73-B579FD6EBC8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27C6-A9A2-EA40-847D-E402AF4BC36C}">
  <dimension ref="A1:F11"/>
  <sheetViews>
    <sheetView topLeftCell="A8" workbookViewId="0">
      <selection activeCell="C4" sqref="C4"/>
    </sheetView>
  </sheetViews>
  <sheetFormatPr baseColWidth="10" defaultColWidth="35.83203125" defaultRowHeight="16" x14ac:dyDescent="0.2"/>
  <cols>
    <col min="1" max="16384" width="35.83203125" style="16"/>
  </cols>
  <sheetData>
    <row r="1" spans="1:6" ht="17" x14ac:dyDescent="0.2">
      <c r="A1" s="7" t="s">
        <v>799</v>
      </c>
      <c r="B1" s="7" t="s">
        <v>800</v>
      </c>
      <c r="C1" s="7" t="s">
        <v>0</v>
      </c>
      <c r="D1" s="7" t="s">
        <v>408</v>
      </c>
      <c r="E1" s="7" t="s">
        <v>815</v>
      </c>
      <c r="F1" s="7" t="s">
        <v>748</v>
      </c>
    </row>
    <row r="2" spans="1:6" ht="85" x14ac:dyDescent="0.2">
      <c r="A2" s="16" t="s">
        <v>801</v>
      </c>
      <c r="B2" s="16" t="s">
        <v>810</v>
      </c>
      <c r="C2" s="16" t="s">
        <v>417</v>
      </c>
      <c r="D2" s="16" t="s">
        <v>17</v>
      </c>
      <c r="E2" s="16">
        <v>10</v>
      </c>
      <c r="F2" s="18" t="s">
        <v>816</v>
      </c>
    </row>
    <row r="3" spans="1:6" ht="119" x14ac:dyDescent="0.2">
      <c r="A3" s="16" t="s">
        <v>803</v>
      </c>
      <c r="B3" s="16" t="s">
        <v>811</v>
      </c>
      <c r="C3" s="16" t="s">
        <v>425</v>
      </c>
      <c r="D3" s="16" t="s">
        <v>32</v>
      </c>
      <c r="E3" s="16">
        <v>8</v>
      </c>
      <c r="F3" s="18" t="s">
        <v>817</v>
      </c>
    </row>
    <row r="4" spans="1:6" ht="153" x14ac:dyDescent="0.2">
      <c r="A4" s="16" t="s">
        <v>805</v>
      </c>
      <c r="B4" s="16" t="s">
        <v>812</v>
      </c>
      <c r="C4" s="16" t="s">
        <v>435</v>
      </c>
      <c r="D4" s="16" t="s">
        <v>42</v>
      </c>
      <c r="E4" s="16">
        <v>6.5</v>
      </c>
      <c r="F4" s="18" t="s">
        <v>818</v>
      </c>
    </row>
    <row r="5" spans="1:6" ht="119" x14ac:dyDescent="0.2">
      <c r="A5" s="16" t="s">
        <v>766</v>
      </c>
      <c r="B5" s="16" t="s">
        <v>813</v>
      </c>
      <c r="C5" s="16" t="s">
        <v>444</v>
      </c>
      <c r="D5" s="16" t="s">
        <v>54</v>
      </c>
      <c r="E5" s="16">
        <v>9.5</v>
      </c>
      <c r="F5" s="18" t="s">
        <v>819</v>
      </c>
    </row>
    <row r="6" spans="1:6" ht="119" x14ac:dyDescent="0.2">
      <c r="A6" s="16" t="s">
        <v>808</v>
      </c>
      <c r="B6" s="16" t="s">
        <v>814</v>
      </c>
      <c r="C6" s="16" t="s">
        <v>451</v>
      </c>
      <c r="D6" s="16" t="s">
        <v>66</v>
      </c>
      <c r="E6" s="16">
        <v>8</v>
      </c>
      <c r="F6" s="18" t="s">
        <v>820</v>
      </c>
    </row>
    <row r="7" spans="1:6" ht="153" x14ac:dyDescent="0.2">
      <c r="C7" s="16" t="s">
        <v>458</v>
      </c>
      <c r="D7" s="16" t="s">
        <v>78</v>
      </c>
      <c r="E7" s="16">
        <v>6.5</v>
      </c>
      <c r="F7" s="18" t="s">
        <v>821</v>
      </c>
    </row>
    <row r="8" spans="1:6" ht="102" x14ac:dyDescent="0.2">
      <c r="C8" s="16" t="s">
        <v>466</v>
      </c>
      <c r="D8" s="16" t="s">
        <v>91</v>
      </c>
      <c r="E8" s="16">
        <v>8.5</v>
      </c>
      <c r="F8" s="18" t="s">
        <v>822</v>
      </c>
    </row>
    <row r="9" spans="1:6" ht="136" x14ac:dyDescent="0.2">
      <c r="C9" s="16" t="s">
        <v>475</v>
      </c>
      <c r="D9" s="16" t="s">
        <v>102</v>
      </c>
      <c r="E9" s="16">
        <v>7.5</v>
      </c>
      <c r="F9" s="18" t="s">
        <v>823</v>
      </c>
    </row>
    <row r="10" spans="1:6" ht="170" x14ac:dyDescent="0.2">
      <c r="C10" s="16" t="s">
        <v>483</v>
      </c>
      <c r="D10" s="16" t="s">
        <v>116</v>
      </c>
      <c r="E10" s="16">
        <v>6.5</v>
      </c>
      <c r="F10" s="18" t="s">
        <v>824</v>
      </c>
    </row>
    <row r="11" spans="1:6" ht="119" x14ac:dyDescent="0.2">
      <c r="C11" s="16" t="s">
        <v>492</v>
      </c>
      <c r="D11" s="16" t="s">
        <v>128</v>
      </c>
      <c r="E11" s="16">
        <v>6</v>
      </c>
      <c r="F11" s="18" t="s">
        <v>825</v>
      </c>
    </row>
  </sheetData>
  <hyperlinks>
    <hyperlink ref="F2" r:id="rId1" tooltip="ASE" display="https://ase.aseglobal.com/?utm_source=chatgpt.com" xr:uid="{D494EFF8-BACD-F048-BE69-20D62B8F9F90}"/>
    <hyperlink ref="F3" r:id="rId2" tooltip="JCET Releases 2025 Annual Report, Posts Record-High ..." display="https://digiconasia.net/pr-newswire/jcet-releases-2025-annual-report-posts-record-high-full-year-revenue-and-higher-profit-before-tax?utm_source=chatgpt.com" xr:uid="{B45FB59E-97FB-FB49-AE34-71A50A1797ED}"/>
    <hyperlink ref="F4" r:id="rId3" tooltip="Huatian Technology" display="https://en.wikipedia.org/wiki/Huatian_Technology?utm_source=chatgpt.com" xr:uid="{17AD3739-057C-C043-A688-1B87FC3780F5}"/>
    <hyperlink ref="F5" r:id="rId4" tooltip="Amkor Technology: Semiconductor Packaging &amp; Test Services" display="https://amkor.com/?utm_source=chatgpt.com" xr:uid="{AAE704DD-BC9B-5644-A576-0F99FF5B79F7}"/>
    <hyperlink ref="F6" r:id="rId5" tooltip="Tongfu Microelectronics taps AMD synergy to command ..." display="https://www.digitimes.com/news/a20251031PD223/packaging-amd-tongfu-testing-gpu.html?utm_source=chatgpt.com" xr:uid="{D934387C-8B76-1643-9D74-C06AF7FDE5E6}"/>
    <hyperlink ref="F7" r:id="rId6" tooltip="Developing Advanced Packaging Supply Chains for ..." display="https://www.micross.com/about-us/news-and-info/webinars/developing-advanced-packaging-supply-chains-for-onshore-microelectronics-production?utm_source=chatgpt.com" xr:uid="{E3724029-28F7-064A-AD31-254522F03B11}"/>
    <hyperlink ref="F8" r:id="rId7" tooltip="Investor Events &amp; News" display="https://www.pti.com.tw/en/ir/news/message/528a32b3-110b-412c-ad93-c2be4e87d879?utm_source=chatgpt.com" xr:uid="{7856003F-5E75-0A4F-8153-8494A6ECEA5A}"/>
    <hyperlink ref="F9" r:id="rId8" tooltip="Semiconductor Assembly and Testing - UTAC" display="https://utacgroup.com/?utm_source=chatgpt.com" xr:uid="{D3219B7E-5BE8-BB42-AB9C-89AAF0544EF1}"/>
    <hyperlink ref="F10" r:id="rId9" tooltip="HANA Micron" display="https://hanamicron.com/eng/index.do?utm_source=chatgpt.com" xr:uid="{E58C2199-F232-B843-9CC9-9BBFE975F68A}"/>
    <hyperlink ref="F11" r:id="rId10" tooltip="Technology Innovation" display="https://www.kyec.com.tw/en/Service/technology-innovation?utm_source=chatgpt.com" xr:uid="{5DD5B545-9DE0-EE45-9B17-E6AED22D4E2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D6364-E5A2-2147-983F-D875B78486E0}">
  <dimension ref="A1:F11"/>
  <sheetViews>
    <sheetView workbookViewId="0">
      <selection activeCell="F4" sqref="F4"/>
    </sheetView>
  </sheetViews>
  <sheetFormatPr baseColWidth="10" defaultColWidth="35.83203125" defaultRowHeight="16" x14ac:dyDescent="0.2"/>
  <cols>
    <col min="1" max="16384" width="35.83203125" style="16"/>
  </cols>
  <sheetData>
    <row r="1" spans="1:6" ht="17" x14ac:dyDescent="0.2">
      <c r="A1" s="7" t="s">
        <v>799</v>
      </c>
      <c r="B1" s="7" t="s">
        <v>800</v>
      </c>
      <c r="C1" s="7" t="s">
        <v>0</v>
      </c>
      <c r="D1" s="7" t="s">
        <v>408</v>
      </c>
      <c r="E1" s="7" t="s">
        <v>831</v>
      </c>
      <c r="F1" s="7" t="s">
        <v>748</v>
      </c>
    </row>
    <row r="2" spans="1:6" ht="119" x14ac:dyDescent="0.2">
      <c r="A2" s="16" t="s">
        <v>801</v>
      </c>
      <c r="B2" s="16" t="s">
        <v>826</v>
      </c>
      <c r="C2" s="16" t="s">
        <v>417</v>
      </c>
      <c r="D2" s="16" t="s">
        <v>17</v>
      </c>
      <c r="E2" s="16">
        <v>10</v>
      </c>
      <c r="F2" s="18" t="s">
        <v>832</v>
      </c>
    </row>
    <row r="3" spans="1:6" ht="119" x14ac:dyDescent="0.2">
      <c r="A3" s="16" t="s">
        <v>803</v>
      </c>
      <c r="B3" s="16" t="s">
        <v>827</v>
      </c>
      <c r="C3" s="16" t="s">
        <v>425</v>
      </c>
      <c r="D3" s="16" t="s">
        <v>32</v>
      </c>
      <c r="E3" s="16">
        <v>9</v>
      </c>
      <c r="F3" s="19" t="s">
        <v>889</v>
      </c>
    </row>
    <row r="4" spans="1:6" ht="119" x14ac:dyDescent="0.2">
      <c r="A4" s="16" t="s">
        <v>805</v>
      </c>
      <c r="B4" s="16" t="s">
        <v>828</v>
      </c>
      <c r="C4" s="16" t="s">
        <v>435</v>
      </c>
      <c r="D4" s="16" t="s">
        <v>42</v>
      </c>
      <c r="E4" s="16">
        <v>7.5</v>
      </c>
      <c r="F4" s="19" t="s">
        <v>890</v>
      </c>
    </row>
    <row r="5" spans="1:6" ht="136" x14ac:dyDescent="0.2">
      <c r="A5" s="16" t="s">
        <v>766</v>
      </c>
      <c r="B5" s="16" t="s">
        <v>829</v>
      </c>
      <c r="C5" s="16" t="s">
        <v>444</v>
      </c>
      <c r="D5" s="16" t="s">
        <v>54</v>
      </c>
      <c r="E5" s="16">
        <v>9.5</v>
      </c>
      <c r="F5" s="18" t="s">
        <v>833</v>
      </c>
    </row>
    <row r="6" spans="1:6" ht="153" x14ac:dyDescent="0.2">
      <c r="A6" s="16" t="s">
        <v>808</v>
      </c>
      <c r="B6" s="16" t="s">
        <v>830</v>
      </c>
      <c r="C6" s="16" t="s">
        <v>451</v>
      </c>
      <c r="D6" s="16" t="s">
        <v>66</v>
      </c>
      <c r="E6" s="16">
        <v>9</v>
      </c>
      <c r="F6" s="18" t="s">
        <v>834</v>
      </c>
    </row>
    <row r="7" spans="1:6" ht="119" x14ac:dyDescent="0.2">
      <c r="C7" s="16" t="s">
        <v>458</v>
      </c>
      <c r="D7" s="16" t="s">
        <v>78</v>
      </c>
      <c r="E7" s="16">
        <v>7</v>
      </c>
      <c r="F7" s="18" t="s">
        <v>835</v>
      </c>
    </row>
    <row r="8" spans="1:6" ht="119" x14ac:dyDescent="0.2">
      <c r="C8" s="16" t="s">
        <v>466</v>
      </c>
      <c r="D8" s="16" t="s">
        <v>91</v>
      </c>
      <c r="E8" s="16">
        <v>8.5</v>
      </c>
      <c r="F8" s="18" t="s">
        <v>836</v>
      </c>
    </row>
    <row r="9" spans="1:6" ht="136" x14ac:dyDescent="0.2">
      <c r="C9" s="16" t="s">
        <v>475</v>
      </c>
      <c r="D9" s="16" t="s">
        <v>102</v>
      </c>
      <c r="E9" s="16">
        <v>8</v>
      </c>
      <c r="F9" s="18" t="s">
        <v>837</v>
      </c>
    </row>
    <row r="10" spans="1:6" ht="119" x14ac:dyDescent="0.2">
      <c r="C10" s="16" t="s">
        <v>483</v>
      </c>
      <c r="D10" s="16" t="s">
        <v>116</v>
      </c>
      <c r="E10" s="16">
        <v>7</v>
      </c>
      <c r="F10" s="18" t="s">
        <v>838</v>
      </c>
    </row>
    <row r="11" spans="1:6" ht="119" x14ac:dyDescent="0.2">
      <c r="C11" s="16" t="s">
        <v>492</v>
      </c>
      <c r="D11" s="16" t="s">
        <v>128</v>
      </c>
      <c r="E11" s="16">
        <v>6.5</v>
      </c>
      <c r="F11" s="18" t="s">
        <v>839</v>
      </c>
    </row>
  </sheetData>
  <hyperlinks>
    <hyperlink ref="F2" r:id="rId1" tooltip="ASE" display="https://ase.aseglobal.com/?utm_source=chatgpt.com" xr:uid="{AE605BF6-7A7F-EA41-9D0A-A2F44D085832}"/>
    <hyperlink ref="F3" r:id="rId2" tooltip="JCET Unveils New Logo Representing the Company's ..." xr:uid="{4ADF69AE-22DA-674D-B077-C82A1C5F8FE7}"/>
    <hyperlink ref="F4" r:id="rId3" tooltip="Huatian Technology" xr:uid="{01D91E6B-32C8-9A49-BDA4-370A60922F8D}"/>
    <hyperlink ref="F5" r:id="rId4" tooltip="Amkor Technology: Semiconductor Packaging &amp; Test Services" display="https://amkor.com/?utm_source=chatgpt.com" xr:uid="{1949F13F-2806-B241-9973-E54A171BDEF9}"/>
    <hyperlink ref="F6" r:id="rId5" tooltip="Tongfu Microelectronics Co., Ltd.-FCBGA Series" display="https://en.tfme.com/?utm_source=chatgpt.com" xr:uid="{2E06AF93-FB9F-3947-8DC7-697CCA381DC1}"/>
    <hyperlink ref="F7" r:id="rId6" tooltip="Micross | Hi-Reliability Products &amp; Services" display="https://www.micross.com/?utm_source=chatgpt.com" xr:uid="{334E5926-D7AD-644A-92AD-2351DC07B11F}"/>
    <hyperlink ref="F8" r:id="rId7" tooltip="About PTI - Powertech Technology Inc ..." display="https://www.pti.com.tw/en/about/about?utm_source=chatgpt.com" xr:uid="{54C70033-2F18-9145-9373-D2E0B05D1B6D}"/>
    <hyperlink ref="F9" r:id="rId8" tooltip="UTAC: Semiconductor Assembly and Testing" display="https://utacgroup.com/?utm_source=chatgpt.com" xr:uid="{30359CDC-BDAB-5640-9C83-2F6D8E948052}"/>
    <hyperlink ref="F10" r:id="rId9" tooltip="HANA Micron" display="https://hanamicron.com/eng/index.do?utm_source=chatgpt.com" xr:uid="{90429276-B838-C941-92E3-F5C394B57BA4}"/>
    <hyperlink ref="F11" r:id="rId10" tooltip="KYEC" display="https://www.kyec.com.tw/en?utm_source=chatgpt.com" xr:uid="{2D3EF67C-65BF-1D44-AF8A-EBAC6B964DE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E2708-DE5F-114A-BC07-FA779DA3531A}">
  <dimension ref="A1:F11"/>
  <sheetViews>
    <sheetView topLeftCell="D1" workbookViewId="0">
      <selection activeCell="C20" sqref="C20"/>
    </sheetView>
  </sheetViews>
  <sheetFormatPr baseColWidth="10" defaultColWidth="35.83203125" defaultRowHeight="16" x14ac:dyDescent="0.2"/>
  <cols>
    <col min="1" max="16384" width="35.83203125" style="16"/>
  </cols>
  <sheetData>
    <row r="1" spans="1:6" ht="17" x14ac:dyDescent="0.2">
      <c r="A1" s="7" t="s">
        <v>408</v>
      </c>
      <c r="B1" s="7" t="s">
        <v>695</v>
      </c>
      <c r="C1" s="7" t="s">
        <v>747</v>
      </c>
      <c r="D1" s="7" t="s">
        <v>748</v>
      </c>
      <c r="E1" s="7" t="s">
        <v>759</v>
      </c>
      <c r="F1" s="7" t="s">
        <v>747</v>
      </c>
    </row>
    <row r="2" spans="1:6" ht="34" x14ac:dyDescent="0.2">
      <c r="A2" s="16" t="s">
        <v>17</v>
      </c>
      <c r="B2" s="17">
        <v>18859254504</v>
      </c>
      <c r="C2" s="16">
        <f>IF(ISNUMBER(B2),IF(B2&gt;=10000000000,10,IF(B2&gt;=5000000000,9,IF(B2&gt;=2000000000,8,IF(B2&gt;=1000000000,6,IF(B2&gt;=500000000,5,4))))),"Manual Review")</f>
        <v>10</v>
      </c>
      <c r="D2" s="16" t="s">
        <v>749</v>
      </c>
      <c r="E2" s="16" t="s">
        <v>760</v>
      </c>
      <c r="F2" s="16">
        <v>10</v>
      </c>
    </row>
    <row r="3" spans="1:6" ht="34" x14ac:dyDescent="0.2">
      <c r="A3" s="16" t="s">
        <v>32</v>
      </c>
      <c r="B3" s="17">
        <v>5319095320</v>
      </c>
      <c r="C3" s="16">
        <f t="shared" ref="C3:C11" si="0">IF(ISNUMBER(B3),IF(B3&gt;=10000000000,10,IF(B3&gt;=5000000000,9,IF(B3&gt;=2000000000,8,IF(B3&gt;=1000000000,6,IF(B3&gt;=500000000,5,4))))),"Manual Review")</f>
        <v>9</v>
      </c>
      <c r="D3" s="16" t="s">
        <v>750</v>
      </c>
      <c r="E3" s="16" t="s">
        <v>761</v>
      </c>
      <c r="F3" s="16">
        <v>9</v>
      </c>
    </row>
    <row r="4" spans="1:6" ht="34" x14ac:dyDescent="0.2">
      <c r="A4" s="16" t="s">
        <v>42</v>
      </c>
      <c r="B4" s="17">
        <v>2139175654</v>
      </c>
      <c r="C4" s="16">
        <f t="shared" si="0"/>
        <v>8</v>
      </c>
      <c r="D4" s="16" t="s">
        <v>751</v>
      </c>
      <c r="E4" s="16" t="s">
        <v>762</v>
      </c>
      <c r="F4" s="16">
        <v>8</v>
      </c>
    </row>
    <row r="5" spans="1:6" ht="17" x14ac:dyDescent="0.2">
      <c r="A5" s="16" t="s">
        <v>54</v>
      </c>
      <c r="B5" s="17">
        <v>6317692000</v>
      </c>
      <c r="C5" s="16">
        <f t="shared" si="0"/>
        <v>9</v>
      </c>
      <c r="D5" s="16" t="s">
        <v>752</v>
      </c>
      <c r="E5" s="16" t="s">
        <v>763</v>
      </c>
      <c r="F5" s="16">
        <v>6</v>
      </c>
    </row>
    <row r="6" spans="1:6" ht="34" x14ac:dyDescent="0.2">
      <c r="A6" s="16" t="s">
        <v>66</v>
      </c>
      <c r="B6" s="17">
        <v>3532553794</v>
      </c>
      <c r="C6" s="16">
        <f t="shared" si="0"/>
        <v>8</v>
      </c>
      <c r="D6" s="16" t="s">
        <v>753</v>
      </c>
      <c r="E6" s="16" t="s">
        <v>764</v>
      </c>
      <c r="F6" s="16">
        <v>5</v>
      </c>
    </row>
    <row r="7" spans="1:6" ht="34" x14ac:dyDescent="0.2">
      <c r="A7" s="16" t="s">
        <v>78</v>
      </c>
      <c r="B7" s="17" t="s">
        <v>210</v>
      </c>
      <c r="C7" s="16">
        <v>4</v>
      </c>
      <c r="D7" s="16" t="s">
        <v>758</v>
      </c>
      <c r="E7" s="16" t="s">
        <v>765</v>
      </c>
      <c r="F7" s="16" t="s">
        <v>766</v>
      </c>
    </row>
    <row r="8" spans="1:6" ht="34" x14ac:dyDescent="0.2">
      <c r="A8" s="16" t="s">
        <v>91</v>
      </c>
      <c r="B8" s="17">
        <v>2322208636</v>
      </c>
      <c r="C8" s="16">
        <f t="shared" si="0"/>
        <v>8</v>
      </c>
      <c r="D8" s="16" t="s">
        <v>755</v>
      </c>
      <c r="E8" s="16" t="s">
        <v>210</v>
      </c>
      <c r="F8" s="16" t="s">
        <v>767</v>
      </c>
    </row>
    <row r="9" spans="1:6" ht="34" x14ac:dyDescent="0.2">
      <c r="A9" s="16" t="s">
        <v>102</v>
      </c>
      <c r="B9" s="17" t="s">
        <v>210</v>
      </c>
      <c r="C9" s="16">
        <v>5</v>
      </c>
      <c r="D9" s="16" t="s">
        <v>756</v>
      </c>
    </row>
    <row r="10" spans="1:6" ht="34" x14ac:dyDescent="0.2">
      <c r="A10" s="16" t="s">
        <v>116</v>
      </c>
      <c r="B10" s="17">
        <v>828242500</v>
      </c>
      <c r="C10" s="16">
        <f t="shared" si="0"/>
        <v>5</v>
      </c>
      <c r="D10" s="16" t="s">
        <v>757</v>
      </c>
    </row>
    <row r="11" spans="1:6" ht="17" x14ac:dyDescent="0.2">
      <c r="A11" s="16" t="s">
        <v>128</v>
      </c>
      <c r="B11" s="17">
        <v>850647686</v>
      </c>
      <c r="C11" s="16">
        <f t="shared" si="0"/>
        <v>5</v>
      </c>
      <c r="D11" s="16" t="s">
        <v>754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4ECF3-3037-3F4B-B3C7-D4DFC15139FC}">
  <dimension ref="A1:F11"/>
  <sheetViews>
    <sheetView topLeftCell="D1" workbookViewId="0">
      <selection activeCell="B8" sqref="B8"/>
    </sheetView>
  </sheetViews>
  <sheetFormatPr baseColWidth="10" defaultColWidth="35.83203125" defaultRowHeight="16" x14ac:dyDescent="0.2"/>
  <cols>
    <col min="1" max="16384" width="35.83203125" style="16"/>
  </cols>
  <sheetData>
    <row r="1" spans="1:6" ht="17" x14ac:dyDescent="0.2">
      <c r="A1" s="7" t="s">
        <v>799</v>
      </c>
      <c r="B1" s="7" t="s">
        <v>800</v>
      </c>
      <c r="C1" s="7" t="s">
        <v>0</v>
      </c>
      <c r="D1" s="7" t="s">
        <v>408</v>
      </c>
      <c r="E1" s="7" t="s">
        <v>845</v>
      </c>
      <c r="F1" s="7" t="s">
        <v>748</v>
      </c>
    </row>
    <row r="2" spans="1:6" ht="68" x14ac:dyDescent="0.2">
      <c r="A2" s="16" t="s">
        <v>801</v>
      </c>
      <c r="B2" s="16" t="s">
        <v>840</v>
      </c>
      <c r="C2" s="16" t="s">
        <v>417</v>
      </c>
      <c r="D2" s="16" t="s">
        <v>17</v>
      </c>
      <c r="E2" s="16">
        <v>7.5</v>
      </c>
      <c r="F2" s="16" t="s">
        <v>846</v>
      </c>
    </row>
    <row r="3" spans="1:6" ht="68" x14ac:dyDescent="0.2">
      <c r="A3" s="16" t="s">
        <v>803</v>
      </c>
      <c r="B3" s="16" t="s">
        <v>841</v>
      </c>
      <c r="C3" s="16" t="s">
        <v>425</v>
      </c>
      <c r="D3" s="16" t="s">
        <v>32</v>
      </c>
      <c r="E3" s="16">
        <v>4</v>
      </c>
      <c r="F3" s="16" t="s">
        <v>847</v>
      </c>
    </row>
    <row r="4" spans="1:6" ht="51" x14ac:dyDescent="0.2">
      <c r="A4" s="16" t="s">
        <v>805</v>
      </c>
      <c r="B4" s="16" t="s">
        <v>842</v>
      </c>
      <c r="C4" s="16" t="s">
        <v>435</v>
      </c>
      <c r="D4" s="16" t="s">
        <v>42</v>
      </c>
      <c r="E4" s="16">
        <v>4</v>
      </c>
      <c r="F4" s="16" t="s">
        <v>848</v>
      </c>
    </row>
    <row r="5" spans="1:6" ht="85" x14ac:dyDescent="0.2">
      <c r="A5" s="16" t="s">
        <v>766</v>
      </c>
      <c r="B5" s="16" t="s">
        <v>843</v>
      </c>
      <c r="C5" s="16" t="s">
        <v>444</v>
      </c>
      <c r="D5" s="16" t="s">
        <v>54</v>
      </c>
      <c r="E5" s="16">
        <v>9</v>
      </c>
      <c r="F5" s="16" t="s">
        <v>849</v>
      </c>
    </row>
    <row r="6" spans="1:6" ht="68" x14ac:dyDescent="0.2">
      <c r="A6" s="16" t="s">
        <v>808</v>
      </c>
      <c r="B6" s="16" t="s">
        <v>844</v>
      </c>
      <c r="C6" s="16" t="s">
        <v>451</v>
      </c>
      <c r="D6" s="16" t="s">
        <v>66</v>
      </c>
      <c r="E6" s="16">
        <v>4</v>
      </c>
      <c r="F6" s="16" t="s">
        <v>850</v>
      </c>
    </row>
    <row r="7" spans="1:6" ht="85" x14ac:dyDescent="0.2">
      <c r="C7" s="16" t="s">
        <v>458</v>
      </c>
      <c r="D7" s="16" t="s">
        <v>78</v>
      </c>
      <c r="E7" s="16">
        <v>9.5</v>
      </c>
      <c r="F7" s="16" t="s">
        <v>851</v>
      </c>
    </row>
    <row r="8" spans="1:6" ht="85" x14ac:dyDescent="0.2">
      <c r="C8" s="16" t="s">
        <v>466</v>
      </c>
      <c r="D8" s="16" t="s">
        <v>91</v>
      </c>
      <c r="E8" s="16">
        <v>6.5</v>
      </c>
      <c r="F8" s="16" t="s">
        <v>852</v>
      </c>
    </row>
    <row r="9" spans="1:6" ht="68" x14ac:dyDescent="0.2">
      <c r="C9" s="16" t="s">
        <v>475</v>
      </c>
      <c r="D9" s="16" t="s">
        <v>102</v>
      </c>
      <c r="E9" s="16">
        <v>6.5</v>
      </c>
      <c r="F9" s="16" t="s">
        <v>853</v>
      </c>
    </row>
    <row r="10" spans="1:6" ht="85" x14ac:dyDescent="0.2">
      <c r="C10" s="16" t="s">
        <v>483</v>
      </c>
      <c r="D10" s="16" t="s">
        <v>116</v>
      </c>
      <c r="E10" s="16">
        <v>6.5</v>
      </c>
      <c r="F10" s="16" t="s">
        <v>854</v>
      </c>
    </row>
    <row r="11" spans="1:6" ht="68" x14ac:dyDescent="0.2">
      <c r="C11" s="16" t="s">
        <v>492</v>
      </c>
      <c r="D11" s="16" t="s">
        <v>128</v>
      </c>
      <c r="E11" s="16">
        <v>6</v>
      </c>
      <c r="F11" s="16" t="s">
        <v>855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B880B-DAC8-824F-B252-C47BE34CAD38}">
  <dimension ref="A1:F11"/>
  <sheetViews>
    <sheetView topLeftCell="D1" workbookViewId="0">
      <selection activeCell="B7" sqref="B7"/>
    </sheetView>
  </sheetViews>
  <sheetFormatPr baseColWidth="10" defaultColWidth="35.83203125" defaultRowHeight="16" x14ac:dyDescent="0.2"/>
  <cols>
    <col min="1" max="16384" width="35.83203125" style="16"/>
  </cols>
  <sheetData>
    <row r="1" spans="1:6" ht="17" x14ac:dyDescent="0.2">
      <c r="A1" s="7" t="s">
        <v>799</v>
      </c>
      <c r="B1" s="7" t="s">
        <v>800</v>
      </c>
      <c r="C1" s="7" t="s">
        <v>0</v>
      </c>
      <c r="D1" s="7" t="s">
        <v>408</v>
      </c>
      <c r="E1" s="7" t="s">
        <v>861</v>
      </c>
      <c r="F1" s="7" t="s">
        <v>748</v>
      </c>
    </row>
    <row r="2" spans="1:6" ht="85" x14ac:dyDescent="0.2">
      <c r="A2" s="16" t="s">
        <v>801</v>
      </c>
      <c r="B2" s="16" t="s">
        <v>856</v>
      </c>
      <c r="C2" s="16" t="s">
        <v>417</v>
      </c>
      <c r="D2" s="16" t="s">
        <v>17</v>
      </c>
      <c r="E2" s="16">
        <v>7.5</v>
      </c>
      <c r="F2" s="16" t="s">
        <v>862</v>
      </c>
    </row>
    <row r="3" spans="1:6" ht="68" x14ac:dyDescent="0.2">
      <c r="A3" s="16" t="s">
        <v>803</v>
      </c>
      <c r="B3" s="16" t="s">
        <v>857</v>
      </c>
      <c r="C3" s="16" t="s">
        <v>425</v>
      </c>
      <c r="D3" s="16" t="s">
        <v>32</v>
      </c>
      <c r="E3" s="16">
        <v>7</v>
      </c>
      <c r="F3" s="16" t="s">
        <v>863</v>
      </c>
    </row>
    <row r="4" spans="1:6" ht="68" x14ac:dyDescent="0.2">
      <c r="A4" s="16" t="s">
        <v>805</v>
      </c>
      <c r="B4" s="16" t="s">
        <v>858</v>
      </c>
      <c r="C4" s="16" t="s">
        <v>435</v>
      </c>
      <c r="D4" s="16" t="s">
        <v>42</v>
      </c>
      <c r="E4" s="16">
        <v>7</v>
      </c>
      <c r="F4" s="16" t="s">
        <v>864</v>
      </c>
    </row>
    <row r="5" spans="1:6" ht="102" x14ac:dyDescent="0.2">
      <c r="A5" s="16" t="s">
        <v>766</v>
      </c>
      <c r="B5" s="16" t="s">
        <v>859</v>
      </c>
      <c r="C5" s="16" t="s">
        <v>444</v>
      </c>
      <c r="D5" s="16" t="s">
        <v>54</v>
      </c>
      <c r="E5" s="16">
        <v>6.5</v>
      </c>
      <c r="F5" s="16" t="s">
        <v>865</v>
      </c>
    </row>
    <row r="6" spans="1:6" ht="68" x14ac:dyDescent="0.2">
      <c r="A6" s="16" t="s">
        <v>808</v>
      </c>
      <c r="B6" s="16" t="s">
        <v>860</v>
      </c>
      <c r="C6" s="16" t="s">
        <v>451</v>
      </c>
      <c r="D6" s="16" t="s">
        <v>66</v>
      </c>
      <c r="E6" s="16">
        <v>7</v>
      </c>
      <c r="F6" s="16" t="s">
        <v>866</v>
      </c>
    </row>
    <row r="7" spans="1:6" ht="85" x14ac:dyDescent="0.2">
      <c r="C7" s="16" t="s">
        <v>458</v>
      </c>
      <c r="D7" s="16" t="s">
        <v>78</v>
      </c>
      <c r="E7" s="16">
        <v>4.5</v>
      </c>
      <c r="F7" s="16" t="s">
        <v>867</v>
      </c>
    </row>
    <row r="8" spans="1:6" ht="68" x14ac:dyDescent="0.2">
      <c r="C8" s="16" t="s">
        <v>466</v>
      </c>
      <c r="D8" s="16" t="s">
        <v>91</v>
      </c>
      <c r="E8" s="16">
        <v>7</v>
      </c>
      <c r="F8" s="16" t="s">
        <v>868</v>
      </c>
    </row>
    <row r="9" spans="1:6" ht="68" x14ac:dyDescent="0.2">
      <c r="C9" s="16" t="s">
        <v>475</v>
      </c>
      <c r="D9" s="16" t="s">
        <v>102</v>
      </c>
      <c r="E9" s="16">
        <v>7.5</v>
      </c>
      <c r="F9" s="16" t="s">
        <v>869</v>
      </c>
    </row>
    <row r="10" spans="1:6" ht="68" x14ac:dyDescent="0.2">
      <c r="C10" s="16" t="s">
        <v>483</v>
      </c>
      <c r="D10" s="16" t="s">
        <v>116</v>
      </c>
      <c r="E10" s="16">
        <v>7</v>
      </c>
      <c r="F10" s="16" t="s">
        <v>870</v>
      </c>
    </row>
    <row r="11" spans="1:6" ht="68" x14ac:dyDescent="0.2">
      <c r="C11" s="16" t="s">
        <v>492</v>
      </c>
      <c r="D11" s="16" t="s">
        <v>128</v>
      </c>
      <c r="E11" s="16">
        <v>6.5</v>
      </c>
      <c r="F11" s="16" t="s">
        <v>871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91256-66A6-4F43-B56D-1218C1C7FA7B}">
  <dimension ref="A1:E11"/>
  <sheetViews>
    <sheetView workbookViewId="0">
      <selection activeCell="B18" sqref="B18"/>
    </sheetView>
  </sheetViews>
  <sheetFormatPr baseColWidth="10" defaultColWidth="35.83203125" defaultRowHeight="16" x14ac:dyDescent="0.2"/>
  <cols>
    <col min="1" max="16384" width="35.83203125" style="16"/>
  </cols>
  <sheetData>
    <row r="1" spans="1:5" ht="17" x14ac:dyDescent="0.2">
      <c r="A1" s="7" t="s">
        <v>872</v>
      </c>
      <c r="B1" s="7" t="s">
        <v>800</v>
      </c>
      <c r="C1" s="7" t="s">
        <v>408</v>
      </c>
      <c r="D1" s="7" t="s">
        <v>701</v>
      </c>
      <c r="E1" s="7" t="s">
        <v>878</v>
      </c>
    </row>
    <row r="2" spans="1:5" ht="51" x14ac:dyDescent="0.2">
      <c r="A2" s="16" t="s">
        <v>801</v>
      </c>
      <c r="B2" s="16" t="s">
        <v>873</v>
      </c>
      <c r="C2" s="16" t="s">
        <v>17</v>
      </c>
      <c r="D2" s="16">
        <v>10</v>
      </c>
      <c r="E2" s="16" t="s">
        <v>879</v>
      </c>
    </row>
    <row r="3" spans="1:5" ht="51" x14ac:dyDescent="0.2">
      <c r="A3" s="16" t="s">
        <v>803</v>
      </c>
      <c r="B3" s="16" t="s">
        <v>874</v>
      </c>
      <c r="C3" s="16" t="s">
        <v>32</v>
      </c>
      <c r="D3" s="16">
        <v>9</v>
      </c>
      <c r="E3" s="16" t="s">
        <v>880</v>
      </c>
    </row>
    <row r="4" spans="1:5" ht="51" x14ac:dyDescent="0.2">
      <c r="A4" s="16" t="s">
        <v>805</v>
      </c>
      <c r="B4" s="16" t="s">
        <v>875</v>
      </c>
      <c r="C4" s="16" t="s">
        <v>42</v>
      </c>
      <c r="D4" s="16">
        <v>6</v>
      </c>
      <c r="E4" s="16" t="s">
        <v>881</v>
      </c>
    </row>
    <row r="5" spans="1:5" ht="34" x14ac:dyDescent="0.2">
      <c r="A5" s="16" t="s">
        <v>766</v>
      </c>
      <c r="B5" s="16" t="s">
        <v>876</v>
      </c>
      <c r="C5" s="16" t="s">
        <v>54</v>
      </c>
      <c r="D5" s="16">
        <v>10</v>
      </c>
      <c r="E5" s="16" t="s">
        <v>882</v>
      </c>
    </row>
    <row r="6" spans="1:5" ht="51" x14ac:dyDescent="0.2">
      <c r="A6" s="16" t="s">
        <v>808</v>
      </c>
      <c r="B6" s="16" t="s">
        <v>877</v>
      </c>
      <c r="C6" s="16" t="s">
        <v>66</v>
      </c>
      <c r="D6" s="16">
        <v>8</v>
      </c>
      <c r="E6" s="16" t="s">
        <v>883</v>
      </c>
    </row>
    <row r="7" spans="1:5" ht="34" x14ac:dyDescent="0.2">
      <c r="C7" s="16" t="s">
        <v>78</v>
      </c>
      <c r="D7" s="16">
        <v>5</v>
      </c>
      <c r="E7" s="16" t="s">
        <v>884</v>
      </c>
    </row>
    <row r="8" spans="1:5" ht="51" x14ac:dyDescent="0.2">
      <c r="C8" s="16" t="s">
        <v>91</v>
      </c>
      <c r="D8" s="16">
        <v>9</v>
      </c>
      <c r="E8" s="16" t="s">
        <v>885</v>
      </c>
    </row>
    <row r="9" spans="1:5" ht="51" x14ac:dyDescent="0.2">
      <c r="C9" s="16" t="s">
        <v>102</v>
      </c>
      <c r="D9" s="16">
        <v>5</v>
      </c>
      <c r="E9" s="16" t="s">
        <v>886</v>
      </c>
    </row>
    <row r="10" spans="1:5" ht="34" x14ac:dyDescent="0.2">
      <c r="C10" s="16" t="s">
        <v>116</v>
      </c>
      <c r="D10" s="16">
        <v>6</v>
      </c>
      <c r="E10" s="16" t="s">
        <v>887</v>
      </c>
    </row>
    <row r="11" spans="1:5" ht="51" x14ac:dyDescent="0.2">
      <c r="C11" s="16" t="s">
        <v>128</v>
      </c>
      <c r="D11" s="16">
        <v>8</v>
      </c>
      <c r="E11" s="16" t="s">
        <v>888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0C84F-34AC-B54A-919F-B5672E353504}">
  <dimension ref="A1:P11"/>
  <sheetViews>
    <sheetView tabSelected="1" zoomScale="60" workbookViewId="0">
      <selection activeCell="B11" sqref="B11"/>
    </sheetView>
  </sheetViews>
  <sheetFormatPr baseColWidth="10" defaultColWidth="35.83203125" defaultRowHeight="16" x14ac:dyDescent="0.2"/>
  <cols>
    <col min="1" max="1" width="10.5" style="4" bestFit="1" customWidth="1"/>
    <col min="2" max="2" width="26.6640625" style="4" bestFit="1" customWidth="1"/>
    <col min="3" max="3" width="17.6640625" style="4" bestFit="1" customWidth="1"/>
    <col min="4" max="4" width="23.5" style="4" bestFit="1" customWidth="1"/>
    <col min="5" max="5" width="24" style="4" bestFit="1" customWidth="1"/>
    <col min="6" max="6" width="17.83203125" style="4" bestFit="1" customWidth="1"/>
    <col min="7" max="7" width="13.5" style="4" bestFit="1" customWidth="1"/>
    <col min="8" max="8" width="11.83203125" style="4" bestFit="1" customWidth="1"/>
    <col min="9" max="9" width="18" style="4" bestFit="1" customWidth="1"/>
    <col min="10" max="10" width="17.6640625" style="4" bestFit="1" customWidth="1"/>
    <col min="11" max="11" width="15" style="4" bestFit="1" customWidth="1"/>
    <col min="12" max="12" width="24.6640625" style="4" bestFit="1" customWidth="1"/>
    <col min="13" max="13" width="5.33203125" style="4" bestFit="1" customWidth="1"/>
    <col min="14" max="14" width="24" style="4" bestFit="1" customWidth="1"/>
    <col min="15" max="15" width="34.33203125" style="4" bestFit="1" customWidth="1"/>
    <col min="16" max="16384" width="35.83203125" style="4"/>
  </cols>
  <sheetData>
    <row r="1" spans="1:16" ht="17" x14ac:dyDescent="0.2">
      <c r="A1" s="14" t="s">
        <v>0</v>
      </c>
      <c r="B1" s="14" t="s">
        <v>1</v>
      </c>
      <c r="C1" s="14" t="s">
        <v>734</v>
      </c>
      <c r="D1" s="14" t="s">
        <v>699</v>
      </c>
      <c r="E1" s="14" t="s">
        <v>714</v>
      </c>
      <c r="F1" s="14" t="s">
        <v>697</v>
      </c>
      <c r="G1" s="14" t="s">
        <v>698</v>
      </c>
      <c r="H1" s="14" t="s">
        <v>700</v>
      </c>
      <c r="I1" s="14" t="s">
        <v>735</v>
      </c>
      <c r="J1" s="14" t="s">
        <v>741</v>
      </c>
      <c r="K1" s="14" t="s">
        <v>701</v>
      </c>
      <c r="L1" s="14" t="s">
        <v>742</v>
      </c>
      <c r="M1" s="14" t="s">
        <v>743</v>
      </c>
      <c r="N1" s="14" t="s">
        <v>744</v>
      </c>
      <c r="O1" s="14" t="s">
        <v>745</v>
      </c>
      <c r="P1" s="14" t="s">
        <v>15</v>
      </c>
    </row>
    <row r="2" spans="1:16" ht="68" x14ac:dyDescent="0.2">
      <c r="A2" s="4" t="s">
        <v>417</v>
      </c>
      <c r="B2" s="4" t="s">
        <v>17</v>
      </c>
      <c r="C2" s="15">
        <v>6.5</v>
      </c>
      <c r="D2" s="15">
        <v>10</v>
      </c>
      <c r="E2" s="4">
        <v>10</v>
      </c>
      <c r="F2" s="15">
        <v>10</v>
      </c>
      <c r="G2" s="15">
        <v>10</v>
      </c>
      <c r="H2" s="15">
        <v>7.5</v>
      </c>
      <c r="I2" s="15">
        <v>7.5</v>
      </c>
      <c r="J2" s="4">
        <f>(C2*20%)+(D2*15%)+(E2*16%)+(F2*17%)+(G2*12%)+(H2*10%)+(I2*10%)</f>
        <v>8.8000000000000007</v>
      </c>
      <c r="K2" s="15">
        <v>10</v>
      </c>
      <c r="L2" s="4">
        <f>J2*(0.85+(K2/10)*0.15)</f>
        <v>8.8000000000000007</v>
      </c>
      <c r="M2" s="4">
        <f>_xlfn.RANK.EQ(L2,$L$2:$L$11,0)</f>
        <v>1</v>
      </c>
      <c r="N2" s="4" t="str">
        <f>IF(L2&gt;=8,"Tier 1 Preferred",IF(L2&gt;=7,"Tier 2 Strong Option",IF(L2&gt;=6,"Tier 3 Conditional Option","Specialty / High-Risk Option")))</f>
        <v>Tier 1 Preferred</v>
      </c>
      <c r="O2" s="4" t="str" cm="1">
        <f t="array" ref="O2">_xlfn.IFS(
B2="ASE Technology / ASE Group","Primary Global Supplier / Advanced Packaging Leader",
B2="JCET Group","Cost-Competitive China Supplier",
B2="Huatian Technology / HT-Tech","China Alternative OSAT",
B2="Amkor Technology","U.S.-Headquartered Global Supplier / Resilience Option",
B2="Tongfu Microelectronics / TFME","China Advanced Packaging / Cost-Scale Supplier",
B2="Micross","U.S. Specialty / High-Reliability Supplier",
B2="Powertech Technology / PTI","Taiwan Backend / Memory Packaging and Test Option",
B2="UTAC","Southeast Asia Diversification Supplier",
B2="Hana Micron","Korea / Vietnam Diversification Supplier",
B2="King Yuan Electronics / KYEC","Testing-Focused Backend Supplier",
TRUE,"Manual Review"
)</f>
        <v>Primary Global Supplier / Advanced Packaging Leader</v>
      </c>
      <c r="P2" s="4" t="str">
        <f>_xlfn.LET(_xlpm.notes,_xlfn.TEXTJOIN(" | ",TRUE,
IF(C2&lt;6,"High country/trade exposure",""),
IF(D2&gt;=8,"Strong geographic diversification",""),
IF(D2&lt;6,"Limited geographic diversification",""),
IF(E2&gt;=8,"Strong advanced packaging / AI fit",""),
IF(E2&lt;6,"Limited advanced packaging / AI evidence",""),
IF(F2&gt;=8,"Strong technical capability",""),
IF(F2&lt;6,"Narrower technical capability",""),
IF(G2&lt;6,"Limited financial scale or financial visibility",""),
IF(H2&gt;=9,"Strong U.S. buyer fit",""),
IF(H2&lt;5,"Weak U.S. buyer fit",""),
IF(I2&gt;=7,"Favorable cost exposure proxy",""),
IF(I2&lt;6,"Higher cost exposure or weaker cost visibility",""),
IF(K2&lt;7,"Lower data confidence / manual verification needed","")
),IF(_xlpm.notes="","No major flags based on current scoring",_xlpm.notes))</f>
        <v>Strong geographic diversification | Strong advanced packaging / AI fit | Strong technical capability | Favorable cost exposure proxy</v>
      </c>
    </row>
    <row r="3" spans="1:16" ht="68" x14ac:dyDescent="0.2">
      <c r="A3" s="4" t="s">
        <v>425</v>
      </c>
      <c r="B3" s="4" t="s">
        <v>32</v>
      </c>
      <c r="C3" s="15">
        <v>4.5</v>
      </c>
      <c r="D3" s="15">
        <v>7</v>
      </c>
      <c r="E3" s="4">
        <v>8</v>
      </c>
      <c r="F3" s="15">
        <v>9</v>
      </c>
      <c r="G3" s="15">
        <v>9</v>
      </c>
      <c r="H3" s="15">
        <v>4</v>
      </c>
      <c r="I3" s="15">
        <v>7</v>
      </c>
      <c r="J3" s="4">
        <f t="shared" ref="J3:J11" si="0">(C3*20%)+(D3*15%)+(E3*16%)+(F3*17%)+(G3*12%)+(H3*10%)+(I3*10%)</f>
        <v>6.9400000000000013</v>
      </c>
      <c r="K3" s="15">
        <v>9</v>
      </c>
      <c r="L3" s="4">
        <f t="shared" ref="L3:L11" si="1">J3*(0.85+(K3/10)*0.15)</f>
        <v>6.8359000000000014</v>
      </c>
      <c r="M3" s="4">
        <f t="shared" ref="M3:M11" si="2">_xlfn.RANK.EQ(L3,$L$2:$L$11,0)</f>
        <v>4</v>
      </c>
      <c r="N3" s="4" t="str">
        <f t="shared" ref="N3:N11" si="3">IF(L3&gt;=8,"Tier 1 Preferred",IF(L3&gt;=7,"Tier 2 Strong Option",IF(L3&gt;=6,"Tier 3 Conditional Option","Specialty / High-Risk Option")))</f>
        <v>Tier 3 Conditional Option</v>
      </c>
      <c r="O3" s="4" t="str" cm="1">
        <f t="array" ref="O3">_xlfn.IFS(
B3="ASE Technology / ASE Group","Primary Global Supplier / Advanced Packaging Leader",
B3="JCET Group","Cost-Competitive China Supplier",
B3="Huatian Technology / HT-Tech","China Alternative OSAT",
B3="Amkor Technology","U.S.-Headquartered Global Supplier / Resilience Option",
B3="Tongfu Microelectronics / TFME","China Advanced Packaging / Cost-Scale Supplier",
B3="Micross","U.S. Specialty / High-Reliability Supplier",
B3="Powertech Technology / PTI","Taiwan Backend / Memory Packaging and Test Option",
B3="UTAC","Southeast Asia Diversification Supplier",
B3="Hana Micron","Korea / Vietnam Diversification Supplier",
B3="King Yuan Electronics / KYEC","Testing-Focused Backend Supplier",
TRUE,"Manual Review"
)</f>
        <v>Cost-Competitive China Supplier</v>
      </c>
      <c r="P3" s="4" t="str">
        <f t="shared" ref="P3:P11" si="4">_xlfn.LET(_xlpm.notes,_xlfn.TEXTJOIN(" | ",TRUE,
IF(C3&lt;6,"High country/trade exposure",""),
IF(D3&gt;=8,"Strong geographic diversification",""),
IF(D3&lt;6,"Limited geographic diversification",""),
IF(E3&gt;=8,"Strong advanced packaging / AI fit",""),
IF(E3&lt;6,"Limited advanced packaging / AI evidence",""),
IF(F3&gt;=8,"Strong technical capability",""),
IF(F3&lt;6,"Narrower technical capability",""),
IF(G3&lt;6,"Limited financial scale or financial visibility",""),
IF(H3&gt;=9,"Strong U.S. buyer fit",""),
IF(H3&lt;5,"Weak U.S. buyer fit",""),
IF(I3&gt;=7,"Favorable cost exposure proxy",""),
IF(I3&lt;6,"Higher cost exposure or weaker cost visibility",""),
IF(K3&lt;7,"Lower data confidence / manual verification needed","")
),IF(_xlpm.notes="","No major flags based on current scoring",_xlpm.notes))</f>
        <v>High country/trade exposure | Strong advanced packaging / AI fit | Strong technical capability | Weak U.S. buyer fit | Favorable cost exposure proxy</v>
      </c>
    </row>
    <row r="4" spans="1:16" ht="85" x14ac:dyDescent="0.2">
      <c r="A4" s="4" t="s">
        <v>435</v>
      </c>
      <c r="B4" s="4" t="s">
        <v>42</v>
      </c>
      <c r="C4" s="15">
        <v>4.5</v>
      </c>
      <c r="D4" s="15">
        <v>5</v>
      </c>
      <c r="E4" s="4">
        <v>6.5</v>
      </c>
      <c r="F4" s="15">
        <v>7.5</v>
      </c>
      <c r="G4" s="15">
        <v>8</v>
      </c>
      <c r="H4" s="15">
        <v>4</v>
      </c>
      <c r="I4" s="15">
        <v>7</v>
      </c>
      <c r="J4" s="4">
        <f t="shared" si="0"/>
        <v>6.0250000000000004</v>
      </c>
      <c r="K4" s="15">
        <v>6</v>
      </c>
      <c r="L4" s="4">
        <f t="shared" si="1"/>
        <v>5.6635</v>
      </c>
      <c r="M4" s="4">
        <f t="shared" si="2"/>
        <v>9</v>
      </c>
      <c r="N4" s="4" t="str">
        <f t="shared" si="3"/>
        <v>Specialty / High-Risk Option</v>
      </c>
      <c r="O4" s="4" t="str" cm="1">
        <f t="array" ref="O4">_xlfn.IFS(
B4="ASE Technology / ASE Group","Primary Global Supplier / Advanced Packaging Leader",
B4="JCET Group","Cost-Competitive China Supplier",
B4="Huatian Technology / HT-Tech","China Alternative OSAT",
B4="Amkor Technology","U.S.-Headquartered Global Supplier / Resilience Option",
B4="Tongfu Microelectronics / TFME","China Advanced Packaging / Cost-Scale Supplier",
B4="Micross","U.S. Specialty / High-Reliability Supplier",
B4="Powertech Technology / PTI","Taiwan Backend / Memory Packaging and Test Option",
B4="UTAC","Southeast Asia Diversification Supplier",
B4="Hana Micron","Korea / Vietnam Diversification Supplier",
B4="King Yuan Electronics / KYEC","Testing-Focused Backend Supplier",
TRUE,"Manual Review"
)</f>
        <v>China Alternative OSAT</v>
      </c>
      <c r="P4" s="4" t="str">
        <f t="shared" si="4"/>
        <v>High country/trade exposure | Limited geographic diversification | Weak U.S. buyer fit | Favorable cost exposure proxy | Lower data confidence / manual verification needed</v>
      </c>
    </row>
    <row r="5" spans="1:16" ht="51" x14ac:dyDescent="0.2">
      <c r="A5" s="4" t="s">
        <v>444</v>
      </c>
      <c r="B5" s="4" t="s">
        <v>54</v>
      </c>
      <c r="C5" s="15">
        <v>8</v>
      </c>
      <c r="D5" s="15">
        <v>9</v>
      </c>
      <c r="E5" s="4">
        <v>9.5</v>
      </c>
      <c r="F5" s="15">
        <v>9.5</v>
      </c>
      <c r="G5" s="15">
        <v>9</v>
      </c>
      <c r="H5" s="15">
        <v>9</v>
      </c>
      <c r="I5" s="15">
        <v>6.5</v>
      </c>
      <c r="J5" s="4">
        <f t="shared" si="0"/>
        <v>8.7150000000000016</v>
      </c>
      <c r="K5" s="15">
        <v>10</v>
      </c>
      <c r="L5" s="4">
        <f t="shared" si="1"/>
        <v>8.7150000000000016</v>
      </c>
      <c r="M5" s="4">
        <f t="shared" si="2"/>
        <v>2</v>
      </c>
      <c r="N5" s="4" t="str">
        <f t="shared" si="3"/>
        <v>Tier 1 Preferred</v>
      </c>
      <c r="O5" s="4" t="str" cm="1">
        <f t="array" ref="O5">_xlfn.IFS(
B5="ASE Technology / ASE Group","Primary Global Supplier / Advanced Packaging Leader",
B5="JCET Group","Cost-Competitive China Supplier",
B5="Huatian Technology / HT-Tech","China Alternative OSAT",
B5="Amkor Technology","U.S.-Headquartered Global Supplier / Resilience Option",
B5="Tongfu Microelectronics / TFME","China Advanced Packaging / Cost-Scale Supplier",
B5="Micross","U.S. Specialty / High-Reliability Supplier",
B5="Powertech Technology / PTI","Taiwan Backend / Memory Packaging and Test Option",
B5="UTAC","Southeast Asia Diversification Supplier",
B5="Hana Micron","Korea / Vietnam Diversification Supplier",
B5="King Yuan Electronics / KYEC","Testing-Focused Backend Supplier",
TRUE,"Manual Review"
)</f>
        <v>U.S.-Headquartered Global Supplier / Resilience Option</v>
      </c>
      <c r="P5" s="4" t="str">
        <f t="shared" si="4"/>
        <v>Strong geographic diversification | Strong advanced packaging / AI fit | Strong technical capability | Strong U.S. buyer fit</v>
      </c>
    </row>
    <row r="6" spans="1:16" ht="68" x14ac:dyDescent="0.2">
      <c r="A6" s="4" t="s">
        <v>451</v>
      </c>
      <c r="B6" s="4" t="s">
        <v>66</v>
      </c>
      <c r="C6" s="15">
        <v>4.5</v>
      </c>
      <c r="D6" s="15">
        <v>6</v>
      </c>
      <c r="E6" s="4">
        <v>8</v>
      </c>
      <c r="F6" s="15">
        <v>9</v>
      </c>
      <c r="G6" s="15">
        <v>8</v>
      </c>
      <c r="H6" s="15">
        <v>4</v>
      </c>
      <c r="I6" s="15">
        <v>7</v>
      </c>
      <c r="J6" s="4">
        <f t="shared" si="0"/>
        <v>6.6700000000000008</v>
      </c>
      <c r="K6" s="15">
        <v>8</v>
      </c>
      <c r="L6" s="4">
        <f t="shared" si="1"/>
        <v>6.4699000000000009</v>
      </c>
      <c r="M6" s="4">
        <f t="shared" si="2"/>
        <v>6</v>
      </c>
      <c r="N6" s="4" t="str">
        <f t="shared" si="3"/>
        <v>Tier 3 Conditional Option</v>
      </c>
      <c r="O6" s="4" t="str" cm="1">
        <f t="array" ref="O6">_xlfn.IFS(
B6="ASE Technology / ASE Group","Primary Global Supplier / Advanced Packaging Leader",
B6="JCET Group","Cost-Competitive China Supplier",
B6="Huatian Technology / HT-Tech","China Alternative OSAT",
B6="Amkor Technology","U.S.-Headquartered Global Supplier / Resilience Option",
B6="Tongfu Microelectronics / TFME","China Advanced Packaging / Cost-Scale Supplier",
B6="Micross","U.S. Specialty / High-Reliability Supplier",
B6="Powertech Technology / PTI","Taiwan Backend / Memory Packaging and Test Option",
B6="UTAC","Southeast Asia Diversification Supplier",
B6="Hana Micron","Korea / Vietnam Diversification Supplier",
B6="King Yuan Electronics / KYEC","Testing-Focused Backend Supplier",
TRUE,"Manual Review"
)</f>
        <v>China Advanced Packaging / Cost-Scale Supplier</v>
      </c>
      <c r="P6" s="4" t="str">
        <f t="shared" si="4"/>
        <v>High country/trade exposure | Strong advanced packaging / AI fit | Strong technical capability | Weak U.S. buyer fit | Favorable cost exposure proxy</v>
      </c>
    </row>
    <row r="7" spans="1:16" ht="102" x14ac:dyDescent="0.2">
      <c r="A7" s="4" t="s">
        <v>458</v>
      </c>
      <c r="B7" s="4" t="s">
        <v>78</v>
      </c>
      <c r="C7" s="15">
        <v>9</v>
      </c>
      <c r="D7" s="15">
        <v>5</v>
      </c>
      <c r="E7" s="4">
        <v>6.5</v>
      </c>
      <c r="F7" s="15">
        <v>7</v>
      </c>
      <c r="G7" s="15">
        <v>4</v>
      </c>
      <c r="H7" s="15">
        <v>9.5</v>
      </c>
      <c r="I7" s="15">
        <v>4.5</v>
      </c>
      <c r="J7" s="4">
        <f t="shared" si="0"/>
        <v>6.66</v>
      </c>
      <c r="K7" s="15">
        <v>5</v>
      </c>
      <c r="L7" s="4">
        <f t="shared" si="1"/>
        <v>6.1604999999999999</v>
      </c>
      <c r="M7" s="4">
        <f t="shared" si="2"/>
        <v>8</v>
      </c>
      <c r="N7" s="4" t="str">
        <f t="shared" si="3"/>
        <v>Tier 3 Conditional Option</v>
      </c>
      <c r="O7" s="4" t="str" cm="1">
        <f t="array" ref="O7">_xlfn.IFS(
B7="ASE Technology / ASE Group","Primary Global Supplier / Advanced Packaging Leader",
B7="JCET Group","Cost-Competitive China Supplier",
B7="Huatian Technology / HT-Tech","China Alternative OSAT",
B7="Amkor Technology","U.S.-Headquartered Global Supplier / Resilience Option",
B7="Tongfu Microelectronics / TFME","China Advanced Packaging / Cost-Scale Supplier",
B7="Micross","U.S. Specialty / High-Reliability Supplier",
B7="Powertech Technology / PTI","Taiwan Backend / Memory Packaging and Test Option",
B7="UTAC","Southeast Asia Diversification Supplier",
B7="Hana Micron","Korea / Vietnam Diversification Supplier",
B7="King Yuan Electronics / KYEC","Testing-Focused Backend Supplier",
TRUE,"Manual Review"
)</f>
        <v>U.S. Specialty / High-Reliability Supplier</v>
      </c>
      <c r="P7" s="4" t="str">
        <f t="shared" si="4"/>
        <v>Limited geographic diversification | Limited financial scale or financial visibility | Strong U.S. buyer fit | Higher cost exposure or weaker cost visibility | Lower data confidence / manual verification needed</v>
      </c>
    </row>
    <row r="8" spans="1:16" ht="51" x14ac:dyDescent="0.2">
      <c r="A8" s="4" t="s">
        <v>466</v>
      </c>
      <c r="B8" s="4" t="s">
        <v>91</v>
      </c>
      <c r="C8" s="15">
        <v>6.5</v>
      </c>
      <c r="D8" s="15">
        <v>6</v>
      </c>
      <c r="E8" s="4">
        <v>8.5</v>
      </c>
      <c r="F8" s="15">
        <v>8.5</v>
      </c>
      <c r="G8" s="15">
        <v>8</v>
      </c>
      <c r="H8" s="15">
        <v>6.5</v>
      </c>
      <c r="I8" s="15">
        <v>7</v>
      </c>
      <c r="J8" s="4">
        <f t="shared" si="0"/>
        <v>7.3150000000000013</v>
      </c>
      <c r="K8" s="15">
        <v>9</v>
      </c>
      <c r="L8" s="4">
        <f t="shared" si="1"/>
        <v>7.2052750000000012</v>
      </c>
      <c r="M8" s="4">
        <f t="shared" si="2"/>
        <v>3</v>
      </c>
      <c r="N8" s="4" t="str">
        <f t="shared" si="3"/>
        <v>Tier 2 Strong Option</v>
      </c>
      <c r="O8" s="4" t="str" cm="1">
        <f t="array" ref="O8">_xlfn.IFS(
B8="ASE Technology / ASE Group","Primary Global Supplier / Advanced Packaging Leader",
B8="JCET Group","Cost-Competitive China Supplier",
B8="Huatian Technology / HT-Tech","China Alternative OSAT",
B8="Amkor Technology","U.S.-Headquartered Global Supplier / Resilience Option",
B8="Tongfu Microelectronics / TFME","China Advanced Packaging / Cost-Scale Supplier",
B8="Micross","U.S. Specialty / High-Reliability Supplier",
B8="Powertech Technology / PTI","Taiwan Backend / Memory Packaging and Test Option",
B8="UTAC","Southeast Asia Diversification Supplier",
B8="Hana Micron","Korea / Vietnam Diversification Supplier",
B8="King Yuan Electronics / KYEC","Testing-Focused Backend Supplier",
TRUE,"Manual Review"
)</f>
        <v>Taiwan Backend / Memory Packaging and Test Option</v>
      </c>
      <c r="P8" s="4" t="str">
        <f t="shared" si="4"/>
        <v>Strong advanced packaging / AI fit | Strong technical capability | Favorable cost exposure proxy</v>
      </c>
    </row>
    <row r="9" spans="1:16" ht="85" x14ac:dyDescent="0.2">
      <c r="A9" s="4" t="s">
        <v>475</v>
      </c>
      <c r="B9" s="4" t="s">
        <v>102</v>
      </c>
      <c r="C9" s="15">
        <v>7.5</v>
      </c>
      <c r="D9" s="15">
        <v>8</v>
      </c>
      <c r="E9" s="4">
        <v>7.5</v>
      </c>
      <c r="F9" s="15">
        <v>8</v>
      </c>
      <c r="G9" s="15">
        <v>5</v>
      </c>
      <c r="H9" s="15">
        <v>6.5</v>
      </c>
      <c r="I9" s="15">
        <v>7.5</v>
      </c>
      <c r="J9" s="4">
        <f t="shared" si="0"/>
        <v>7.2600000000000007</v>
      </c>
      <c r="K9" s="15">
        <v>5</v>
      </c>
      <c r="L9" s="4">
        <f t="shared" si="1"/>
        <v>6.7155000000000005</v>
      </c>
      <c r="M9" s="4">
        <f t="shared" si="2"/>
        <v>5</v>
      </c>
      <c r="N9" s="4" t="str">
        <f t="shared" si="3"/>
        <v>Tier 3 Conditional Option</v>
      </c>
      <c r="O9" s="4" t="str" cm="1">
        <f t="array" ref="O9">_xlfn.IFS(
B9="ASE Technology / ASE Group","Primary Global Supplier / Advanced Packaging Leader",
B9="JCET Group","Cost-Competitive China Supplier",
B9="Huatian Technology / HT-Tech","China Alternative OSAT",
B9="Amkor Technology","U.S.-Headquartered Global Supplier / Resilience Option",
B9="Tongfu Microelectronics / TFME","China Advanced Packaging / Cost-Scale Supplier",
B9="Micross","U.S. Specialty / High-Reliability Supplier",
B9="Powertech Technology / PTI","Taiwan Backend / Memory Packaging and Test Option",
B9="UTAC","Southeast Asia Diversification Supplier",
B9="Hana Micron","Korea / Vietnam Diversification Supplier",
B9="King Yuan Electronics / KYEC","Testing-Focused Backend Supplier",
TRUE,"Manual Review"
)</f>
        <v>Southeast Asia Diversification Supplier</v>
      </c>
      <c r="P9" s="4" t="str">
        <f t="shared" si="4"/>
        <v>Strong geographic diversification | Strong technical capability | Limited financial scale or financial visibility | Favorable cost exposure proxy | Lower data confidence / manual verification needed</v>
      </c>
    </row>
    <row r="10" spans="1:16" ht="68" x14ac:dyDescent="0.2">
      <c r="A10" s="4" t="s">
        <v>483</v>
      </c>
      <c r="B10" s="4" t="s">
        <v>116</v>
      </c>
      <c r="C10" s="15">
        <v>7.5</v>
      </c>
      <c r="D10" s="15">
        <v>6</v>
      </c>
      <c r="E10" s="4">
        <v>6.5</v>
      </c>
      <c r="F10" s="15">
        <v>7</v>
      </c>
      <c r="G10" s="15">
        <v>5</v>
      </c>
      <c r="H10" s="15">
        <v>6.5</v>
      </c>
      <c r="I10" s="15">
        <v>7</v>
      </c>
      <c r="J10" s="4">
        <f t="shared" si="0"/>
        <v>6.58</v>
      </c>
      <c r="K10" s="15">
        <v>6</v>
      </c>
      <c r="L10" s="4">
        <f t="shared" si="1"/>
        <v>6.1852</v>
      </c>
      <c r="M10" s="4">
        <f t="shared" si="2"/>
        <v>7</v>
      </c>
      <c r="N10" s="4" t="str">
        <f t="shared" si="3"/>
        <v>Tier 3 Conditional Option</v>
      </c>
      <c r="O10" s="4" t="str" cm="1">
        <f t="array" ref="O10">_xlfn.IFS(
B10="ASE Technology / ASE Group","Primary Global Supplier / Advanced Packaging Leader",
B10="JCET Group","Cost-Competitive China Supplier",
B10="Huatian Technology / HT-Tech","China Alternative OSAT",
B10="Amkor Technology","U.S.-Headquartered Global Supplier / Resilience Option",
B10="Tongfu Microelectronics / TFME","China Advanced Packaging / Cost-Scale Supplier",
B10="Micross","U.S. Specialty / High-Reliability Supplier",
B10="Powertech Technology / PTI","Taiwan Backend / Memory Packaging and Test Option",
B10="UTAC","Southeast Asia Diversification Supplier",
B10="Hana Micron","Korea / Vietnam Diversification Supplier",
B10="King Yuan Electronics / KYEC","Testing-Focused Backend Supplier",
TRUE,"Manual Review"
)</f>
        <v>Korea / Vietnam Diversification Supplier</v>
      </c>
      <c r="P10" s="4" t="str">
        <f t="shared" si="4"/>
        <v>Limited financial scale or financial visibility | Favorable cost exposure proxy | Lower data confidence / manual verification needed</v>
      </c>
    </row>
    <row r="11" spans="1:16" ht="51" x14ac:dyDescent="0.2">
      <c r="A11" s="4" t="s">
        <v>492</v>
      </c>
      <c r="B11" s="4" t="s">
        <v>128</v>
      </c>
      <c r="C11" s="15">
        <v>6.5</v>
      </c>
      <c r="D11" s="15">
        <v>4</v>
      </c>
      <c r="E11" s="4">
        <v>6</v>
      </c>
      <c r="F11" s="15">
        <v>6.5</v>
      </c>
      <c r="G11" s="15">
        <v>5</v>
      </c>
      <c r="H11" s="15">
        <v>6</v>
      </c>
      <c r="I11" s="15">
        <v>6.5</v>
      </c>
      <c r="J11" s="4">
        <f t="shared" si="0"/>
        <v>5.8149999999999995</v>
      </c>
      <c r="K11" s="15">
        <v>8</v>
      </c>
      <c r="L11" s="4">
        <f t="shared" si="1"/>
        <v>5.6405499999999993</v>
      </c>
      <c r="M11" s="4">
        <f t="shared" si="2"/>
        <v>10</v>
      </c>
      <c r="N11" s="4" t="str">
        <f t="shared" si="3"/>
        <v>Specialty / High-Risk Option</v>
      </c>
      <c r="O11" s="4" t="str" cm="1">
        <f t="array" ref="O11">_xlfn.IFS(
B11="ASE Technology / ASE Group","Primary Global Supplier / Advanced Packaging Leader",
B11="JCET Group","Cost-Competitive China Supplier",
B11="Huatian Technology / HT-Tech","China Alternative OSAT",
B11="Amkor Technology","U.S.-Headquartered Global Supplier / Resilience Option",
B11="Tongfu Microelectronics / TFME","China Advanced Packaging / Cost-Scale Supplier",
B11="Micross","U.S. Specialty / High-Reliability Supplier",
B11="Powertech Technology / PTI","Taiwan Backend / Memory Packaging and Test Option",
B11="UTAC","Southeast Asia Diversification Supplier",
B11="Hana Micron","Korea / Vietnam Diversification Supplier",
B11="King Yuan Electronics / KYEC","Testing-Focused Backend Supplier",
TRUE,"Manual Review"
)</f>
        <v>Testing-Focused Backend Supplier</v>
      </c>
      <c r="P11" s="4" t="str">
        <f t="shared" si="4"/>
        <v>Limited geographic diversification | Limited financial scale or financial visibility</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A290A-9678-7B4D-A5AD-0AD0A67DCD7E}">
  <dimension ref="A1:M36"/>
  <sheetViews>
    <sheetView topLeftCell="F1" zoomScale="64" workbookViewId="0">
      <selection activeCell="D6" sqref="D6"/>
    </sheetView>
  </sheetViews>
  <sheetFormatPr baseColWidth="10" defaultColWidth="35.83203125" defaultRowHeight="16" x14ac:dyDescent="0.2"/>
  <cols>
    <col min="1" max="16384" width="35.83203125" style="4"/>
  </cols>
  <sheetData>
    <row r="1" spans="1:13" ht="17" x14ac:dyDescent="0.2">
      <c r="A1" s="2" t="s">
        <v>407</v>
      </c>
      <c r="B1" s="2" t="s">
        <v>408</v>
      </c>
      <c r="C1" s="2" t="s">
        <v>409</v>
      </c>
      <c r="D1" s="2" t="s">
        <v>410</v>
      </c>
      <c r="E1" s="2" t="s">
        <v>411</v>
      </c>
      <c r="F1" s="2" t="s">
        <v>412</v>
      </c>
      <c r="G1" s="2" t="s">
        <v>150</v>
      </c>
      <c r="H1" s="2" t="s">
        <v>413</v>
      </c>
      <c r="I1" s="2" t="s">
        <v>414</v>
      </c>
      <c r="J1" s="2" t="s">
        <v>415</v>
      </c>
      <c r="K1" s="2" t="s">
        <v>416</v>
      </c>
      <c r="L1" s="2" t="s">
        <v>14</v>
      </c>
      <c r="M1" s="2" t="s">
        <v>15</v>
      </c>
    </row>
    <row r="2" spans="1:13" ht="102" x14ac:dyDescent="0.2">
      <c r="A2" s="1" t="s">
        <v>417</v>
      </c>
      <c r="B2" s="1" t="s">
        <v>17</v>
      </c>
      <c r="C2" s="1" t="s">
        <v>142</v>
      </c>
      <c r="D2" s="1" t="s">
        <v>418</v>
      </c>
      <c r="E2" s="1" t="s">
        <v>419</v>
      </c>
      <c r="F2" s="1" t="s">
        <v>420</v>
      </c>
      <c r="G2" s="1" t="s">
        <v>421</v>
      </c>
      <c r="H2" s="6">
        <v>45701</v>
      </c>
      <c r="I2" s="6">
        <v>46189</v>
      </c>
      <c r="J2" s="1" t="s">
        <v>422</v>
      </c>
      <c r="K2" s="1" t="s">
        <v>423</v>
      </c>
      <c r="L2" s="1" t="s">
        <v>29</v>
      </c>
      <c r="M2" s="1" t="s">
        <v>424</v>
      </c>
    </row>
    <row r="3" spans="1:13" ht="34" x14ac:dyDescent="0.2">
      <c r="A3" s="1" t="s">
        <v>425</v>
      </c>
      <c r="B3" s="1" t="s">
        <v>17</v>
      </c>
      <c r="C3" s="1" t="s">
        <v>426</v>
      </c>
      <c r="D3" s="1" t="s">
        <v>427</v>
      </c>
      <c r="E3" s="1" t="s">
        <v>428</v>
      </c>
      <c r="F3" s="1" t="s">
        <v>429</v>
      </c>
      <c r="G3" s="1" t="s">
        <v>430</v>
      </c>
      <c r="H3" s="1" t="s">
        <v>431</v>
      </c>
      <c r="I3" s="6">
        <v>46189</v>
      </c>
      <c r="J3" s="1" t="s">
        <v>432</v>
      </c>
      <c r="K3" s="1" t="s">
        <v>433</v>
      </c>
      <c r="L3" s="1" t="s">
        <v>29</v>
      </c>
      <c r="M3" s="1" t="s">
        <v>434</v>
      </c>
    </row>
    <row r="4" spans="1:13" ht="34" x14ac:dyDescent="0.2">
      <c r="A4" s="1" t="s">
        <v>435</v>
      </c>
      <c r="B4" s="1" t="s">
        <v>17</v>
      </c>
      <c r="C4" s="1" t="s">
        <v>436</v>
      </c>
      <c r="D4" s="1" t="s">
        <v>437</v>
      </c>
      <c r="E4" s="1" t="s">
        <v>438</v>
      </c>
      <c r="F4" s="1" t="s">
        <v>439</v>
      </c>
      <c r="G4" s="1" t="s">
        <v>440</v>
      </c>
      <c r="H4" s="1" t="s">
        <v>431</v>
      </c>
      <c r="I4" s="6">
        <v>46189</v>
      </c>
      <c r="J4" s="1" t="s">
        <v>441</v>
      </c>
      <c r="K4" s="1" t="s">
        <v>442</v>
      </c>
      <c r="L4" s="1" t="s">
        <v>29</v>
      </c>
      <c r="M4" s="1" t="s">
        <v>443</v>
      </c>
    </row>
    <row r="5" spans="1:13" ht="34" x14ac:dyDescent="0.2">
      <c r="A5" s="1" t="s">
        <v>444</v>
      </c>
      <c r="B5" s="1" t="s">
        <v>17</v>
      </c>
      <c r="C5" s="1" t="s">
        <v>445</v>
      </c>
      <c r="D5" s="1" t="s">
        <v>446</v>
      </c>
      <c r="E5" s="1" t="s">
        <v>447</v>
      </c>
      <c r="F5" s="1" t="s">
        <v>448</v>
      </c>
      <c r="G5" s="1" t="s">
        <v>430</v>
      </c>
      <c r="H5" s="1" t="s">
        <v>431</v>
      </c>
      <c r="I5" s="6">
        <v>46189</v>
      </c>
      <c r="J5" s="1" t="s">
        <v>449</v>
      </c>
      <c r="K5" s="1" t="s">
        <v>27</v>
      </c>
      <c r="L5" s="1" t="s">
        <v>29</v>
      </c>
      <c r="M5" s="1" t="s">
        <v>450</v>
      </c>
    </row>
    <row r="6" spans="1:13" ht="68" x14ac:dyDescent="0.2">
      <c r="A6" s="1" t="s">
        <v>451</v>
      </c>
      <c r="B6" s="1" t="s">
        <v>32</v>
      </c>
      <c r="C6" s="1" t="s">
        <v>142</v>
      </c>
      <c r="D6" s="1" t="s">
        <v>452</v>
      </c>
      <c r="E6" s="1" t="s">
        <v>453</v>
      </c>
      <c r="F6" s="1" t="s">
        <v>454</v>
      </c>
      <c r="G6" s="1" t="s">
        <v>421</v>
      </c>
      <c r="H6" s="6">
        <v>45767</v>
      </c>
      <c r="I6" s="6">
        <v>46189</v>
      </c>
      <c r="J6" s="1" t="s">
        <v>455</v>
      </c>
      <c r="K6" s="1" t="s">
        <v>456</v>
      </c>
      <c r="L6" s="1" t="s">
        <v>29</v>
      </c>
      <c r="M6" s="1" t="s">
        <v>457</v>
      </c>
    </row>
    <row r="7" spans="1:13" ht="51" x14ac:dyDescent="0.2">
      <c r="A7" s="1" t="s">
        <v>458</v>
      </c>
      <c r="B7" s="1" t="s">
        <v>32</v>
      </c>
      <c r="C7" s="1" t="s">
        <v>436</v>
      </c>
      <c r="D7" s="1" t="s">
        <v>459</v>
      </c>
      <c r="E7" s="1" t="s">
        <v>460</v>
      </c>
      <c r="F7" s="1" t="s">
        <v>461</v>
      </c>
      <c r="G7" s="1" t="s">
        <v>462</v>
      </c>
      <c r="H7" s="6">
        <v>45768</v>
      </c>
      <c r="I7" s="6">
        <v>46189</v>
      </c>
      <c r="J7" s="1" t="s">
        <v>463</v>
      </c>
      <c r="K7" s="1" t="s">
        <v>464</v>
      </c>
      <c r="L7" s="1" t="s">
        <v>29</v>
      </c>
      <c r="M7" s="1" t="s">
        <v>465</v>
      </c>
    </row>
    <row r="8" spans="1:13" ht="34" x14ac:dyDescent="0.2">
      <c r="A8" s="1" t="s">
        <v>466</v>
      </c>
      <c r="B8" s="1" t="s">
        <v>32</v>
      </c>
      <c r="C8" s="1" t="s">
        <v>467</v>
      </c>
      <c r="D8" s="1" t="s">
        <v>468</v>
      </c>
      <c r="E8" s="1" t="s">
        <v>469</v>
      </c>
      <c r="F8" s="1" t="s">
        <v>470</v>
      </c>
      <c r="G8" s="1" t="s">
        <v>471</v>
      </c>
      <c r="H8" s="1" t="s">
        <v>431</v>
      </c>
      <c r="I8" s="6">
        <v>46189</v>
      </c>
      <c r="J8" s="1" t="s">
        <v>472</v>
      </c>
      <c r="K8" s="1" t="s">
        <v>473</v>
      </c>
      <c r="L8" s="1" t="s">
        <v>51</v>
      </c>
      <c r="M8" s="1" t="s">
        <v>474</v>
      </c>
    </row>
    <row r="9" spans="1:13" ht="51" x14ac:dyDescent="0.2">
      <c r="A9" s="1" t="s">
        <v>475</v>
      </c>
      <c r="B9" s="1" t="s">
        <v>42</v>
      </c>
      <c r="C9" s="1" t="s">
        <v>476</v>
      </c>
      <c r="D9" s="1" t="s">
        <v>477</v>
      </c>
      <c r="E9" s="1" t="s">
        <v>478</v>
      </c>
      <c r="F9" s="1" t="s">
        <v>50</v>
      </c>
      <c r="G9" s="1" t="s">
        <v>479</v>
      </c>
      <c r="H9" s="6">
        <v>45748</v>
      </c>
      <c r="I9" s="6">
        <v>46189</v>
      </c>
      <c r="J9" s="1" t="s">
        <v>480</v>
      </c>
      <c r="K9" s="1" t="s">
        <v>481</v>
      </c>
      <c r="L9" s="1" t="s">
        <v>29</v>
      </c>
      <c r="M9" s="1" t="s">
        <v>482</v>
      </c>
    </row>
    <row r="10" spans="1:13" ht="34" x14ac:dyDescent="0.2">
      <c r="A10" s="1" t="s">
        <v>483</v>
      </c>
      <c r="B10" s="1" t="s">
        <v>42</v>
      </c>
      <c r="C10" s="1" t="s">
        <v>484</v>
      </c>
      <c r="D10" s="1" t="s">
        <v>485</v>
      </c>
      <c r="E10" s="1" t="s">
        <v>478</v>
      </c>
      <c r="F10" s="1" t="s">
        <v>486</v>
      </c>
      <c r="G10" s="1" t="s">
        <v>487</v>
      </c>
      <c r="H10" s="1" t="s">
        <v>488</v>
      </c>
      <c r="I10" s="6">
        <v>46189</v>
      </c>
      <c r="J10" s="1" t="s">
        <v>489</v>
      </c>
      <c r="K10" s="1" t="s">
        <v>490</v>
      </c>
      <c r="L10" s="1" t="s">
        <v>29</v>
      </c>
      <c r="M10" s="1" t="s">
        <v>491</v>
      </c>
    </row>
    <row r="11" spans="1:13" ht="51" x14ac:dyDescent="0.2">
      <c r="A11" s="1" t="s">
        <v>492</v>
      </c>
      <c r="B11" s="1" t="s">
        <v>42</v>
      </c>
      <c r="C11" s="1" t="s">
        <v>493</v>
      </c>
      <c r="D11" s="1" t="s">
        <v>494</v>
      </c>
      <c r="E11" s="1" t="s">
        <v>495</v>
      </c>
      <c r="F11" s="1" t="s">
        <v>496</v>
      </c>
      <c r="G11" s="1" t="s">
        <v>497</v>
      </c>
      <c r="H11" s="1" t="s">
        <v>498</v>
      </c>
      <c r="I11" s="6">
        <v>46189</v>
      </c>
      <c r="J11" s="1" t="s">
        <v>499</v>
      </c>
      <c r="K11" s="1" t="s">
        <v>500</v>
      </c>
      <c r="L11" s="1" t="s">
        <v>51</v>
      </c>
      <c r="M11" s="1" t="s">
        <v>501</v>
      </c>
    </row>
    <row r="12" spans="1:13" ht="34" x14ac:dyDescent="0.2">
      <c r="A12" s="1" t="s">
        <v>502</v>
      </c>
      <c r="B12" s="1" t="s">
        <v>54</v>
      </c>
      <c r="C12" s="1" t="s">
        <v>142</v>
      </c>
      <c r="D12" s="1" t="s">
        <v>503</v>
      </c>
      <c r="E12" s="1" t="s">
        <v>504</v>
      </c>
      <c r="F12" s="1" t="s">
        <v>505</v>
      </c>
      <c r="G12" s="1" t="s">
        <v>506</v>
      </c>
      <c r="H12" s="6">
        <v>45709</v>
      </c>
      <c r="I12" s="6">
        <v>46189</v>
      </c>
      <c r="J12" s="1" t="s">
        <v>507</v>
      </c>
      <c r="K12" s="1" t="s">
        <v>508</v>
      </c>
      <c r="L12" s="1" t="s">
        <v>29</v>
      </c>
      <c r="M12" s="1" t="s">
        <v>509</v>
      </c>
    </row>
    <row r="13" spans="1:13" ht="51" x14ac:dyDescent="0.2">
      <c r="A13" s="1" t="s">
        <v>510</v>
      </c>
      <c r="B13" s="1" t="s">
        <v>54</v>
      </c>
      <c r="C13" s="1" t="s">
        <v>511</v>
      </c>
      <c r="D13" s="1" t="s">
        <v>512</v>
      </c>
      <c r="E13" s="1" t="s">
        <v>54</v>
      </c>
      <c r="F13" s="1" t="s">
        <v>513</v>
      </c>
      <c r="G13" s="1" t="s">
        <v>430</v>
      </c>
      <c r="H13" s="1" t="s">
        <v>431</v>
      </c>
      <c r="I13" s="6">
        <v>46189</v>
      </c>
      <c r="J13" s="1" t="s">
        <v>514</v>
      </c>
      <c r="K13" s="1" t="s">
        <v>515</v>
      </c>
      <c r="L13" s="1" t="s">
        <v>29</v>
      </c>
      <c r="M13" s="1" t="s">
        <v>516</v>
      </c>
    </row>
    <row r="14" spans="1:13" ht="51" x14ac:dyDescent="0.2">
      <c r="A14" s="1" t="s">
        <v>517</v>
      </c>
      <c r="B14" s="1" t="s">
        <v>54</v>
      </c>
      <c r="C14" s="1" t="s">
        <v>518</v>
      </c>
      <c r="D14" s="1" t="s">
        <v>519</v>
      </c>
      <c r="E14" s="1" t="s">
        <v>54</v>
      </c>
      <c r="F14" s="1" t="s">
        <v>520</v>
      </c>
      <c r="G14" s="1" t="s">
        <v>430</v>
      </c>
      <c r="H14" s="1" t="s">
        <v>431</v>
      </c>
      <c r="I14" s="6">
        <v>46189</v>
      </c>
      <c r="J14" s="1" t="s">
        <v>521</v>
      </c>
      <c r="K14" s="1" t="s">
        <v>522</v>
      </c>
      <c r="L14" s="1" t="s">
        <v>29</v>
      </c>
      <c r="M14" s="1" t="s">
        <v>523</v>
      </c>
    </row>
    <row r="15" spans="1:13" ht="34" x14ac:dyDescent="0.2">
      <c r="A15" s="1" t="s">
        <v>524</v>
      </c>
      <c r="B15" s="1" t="s">
        <v>66</v>
      </c>
      <c r="C15" s="1" t="s">
        <v>142</v>
      </c>
      <c r="D15" s="1" t="s">
        <v>477</v>
      </c>
      <c r="E15" s="1" t="s">
        <v>478</v>
      </c>
      <c r="F15" s="1" t="s">
        <v>525</v>
      </c>
      <c r="G15" s="1" t="s">
        <v>479</v>
      </c>
      <c r="H15" s="6">
        <v>45759</v>
      </c>
      <c r="I15" s="6">
        <v>46189</v>
      </c>
      <c r="J15" s="1" t="s">
        <v>526</v>
      </c>
      <c r="K15" s="1" t="s">
        <v>527</v>
      </c>
      <c r="L15" s="1" t="s">
        <v>29</v>
      </c>
      <c r="M15" s="1" t="s">
        <v>528</v>
      </c>
    </row>
    <row r="16" spans="1:13" ht="68" x14ac:dyDescent="0.2">
      <c r="A16" s="1" t="s">
        <v>529</v>
      </c>
      <c r="B16" s="1" t="s">
        <v>66</v>
      </c>
      <c r="C16" s="1" t="s">
        <v>530</v>
      </c>
      <c r="D16" s="1" t="s">
        <v>531</v>
      </c>
      <c r="E16" s="1" t="s">
        <v>532</v>
      </c>
      <c r="F16" s="1" t="s">
        <v>533</v>
      </c>
      <c r="G16" s="1" t="s">
        <v>430</v>
      </c>
      <c r="H16" s="1" t="s">
        <v>431</v>
      </c>
      <c r="I16" s="6">
        <v>46189</v>
      </c>
      <c r="J16" s="1" t="s">
        <v>534</v>
      </c>
      <c r="K16" s="1" t="s">
        <v>74</v>
      </c>
      <c r="L16" s="1" t="s">
        <v>29</v>
      </c>
      <c r="M16" s="1" t="s">
        <v>535</v>
      </c>
    </row>
    <row r="17" spans="1:13" ht="51" x14ac:dyDescent="0.2">
      <c r="A17" s="1" t="s">
        <v>536</v>
      </c>
      <c r="B17" s="1" t="s">
        <v>66</v>
      </c>
      <c r="C17" s="1" t="s">
        <v>537</v>
      </c>
      <c r="D17" s="1" t="s">
        <v>538</v>
      </c>
      <c r="E17" s="1" t="s">
        <v>532</v>
      </c>
      <c r="F17" s="1" t="s">
        <v>539</v>
      </c>
      <c r="G17" s="1" t="s">
        <v>540</v>
      </c>
      <c r="H17" s="1" t="s">
        <v>541</v>
      </c>
      <c r="I17" s="6">
        <v>46189</v>
      </c>
      <c r="J17" s="1" t="s">
        <v>542</v>
      </c>
      <c r="K17" s="1" t="s">
        <v>543</v>
      </c>
      <c r="L17" s="1" t="s">
        <v>51</v>
      </c>
      <c r="M17" s="1" t="s">
        <v>544</v>
      </c>
    </row>
    <row r="18" spans="1:13" ht="34" x14ac:dyDescent="0.2">
      <c r="A18" s="1" t="s">
        <v>545</v>
      </c>
      <c r="B18" s="1" t="s">
        <v>78</v>
      </c>
      <c r="C18" s="1" t="s">
        <v>546</v>
      </c>
      <c r="D18" s="1" t="s">
        <v>547</v>
      </c>
      <c r="E18" s="1" t="s">
        <v>78</v>
      </c>
      <c r="F18" s="1" t="s">
        <v>548</v>
      </c>
      <c r="G18" s="1" t="s">
        <v>430</v>
      </c>
      <c r="H18" s="1" t="s">
        <v>431</v>
      </c>
      <c r="I18" s="6">
        <v>46189</v>
      </c>
      <c r="J18" s="1" t="s">
        <v>549</v>
      </c>
      <c r="K18" s="1" t="s">
        <v>550</v>
      </c>
      <c r="L18" s="1" t="s">
        <v>29</v>
      </c>
      <c r="M18" s="1" t="s">
        <v>551</v>
      </c>
    </row>
    <row r="19" spans="1:13" ht="34" x14ac:dyDescent="0.2">
      <c r="A19" s="1" t="s">
        <v>552</v>
      </c>
      <c r="B19" s="1" t="s">
        <v>78</v>
      </c>
      <c r="C19" s="1" t="s">
        <v>553</v>
      </c>
      <c r="D19" s="1" t="s">
        <v>554</v>
      </c>
      <c r="E19" s="1" t="s">
        <v>78</v>
      </c>
      <c r="F19" s="1" t="s">
        <v>555</v>
      </c>
      <c r="G19" s="1" t="s">
        <v>430</v>
      </c>
      <c r="H19" s="1" t="s">
        <v>431</v>
      </c>
      <c r="I19" s="6">
        <v>46189</v>
      </c>
      <c r="J19" s="1" t="s">
        <v>556</v>
      </c>
      <c r="K19" s="1" t="s">
        <v>557</v>
      </c>
      <c r="L19" s="1" t="s">
        <v>29</v>
      </c>
      <c r="M19" s="1" t="s">
        <v>558</v>
      </c>
    </row>
    <row r="20" spans="1:13" ht="68" x14ac:dyDescent="0.2">
      <c r="A20" s="1" t="s">
        <v>559</v>
      </c>
      <c r="B20" s="1" t="s">
        <v>78</v>
      </c>
      <c r="C20" s="1" t="s">
        <v>560</v>
      </c>
      <c r="D20" s="1" t="s">
        <v>561</v>
      </c>
      <c r="E20" s="1" t="s">
        <v>78</v>
      </c>
      <c r="F20" s="1" t="s">
        <v>562</v>
      </c>
      <c r="G20" s="1" t="s">
        <v>540</v>
      </c>
      <c r="H20" s="6">
        <v>45672</v>
      </c>
      <c r="I20" s="6">
        <v>46189</v>
      </c>
      <c r="J20" s="1" t="s">
        <v>563</v>
      </c>
      <c r="K20" s="1" t="s">
        <v>564</v>
      </c>
      <c r="L20" s="1" t="s">
        <v>29</v>
      </c>
      <c r="M20" s="1" t="s">
        <v>565</v>
      </c>
    </row>
    <row r="21" spans="1:13" ht="51" x14ac:dyDescent="0.2">
      <c r="A21" s="1" t="s">
        <v>566</v>
      </c>
      <c r="B21" s="1" t="s">
        <v>91</v>
      </c>
      <c r="C21" s="1" t="s">
        <v>142</v>
      </c>
      <c r="D21" s="1" t="s">
        <v>567</v>
      </c>
      <c r="E21" s="1" t="s">
        <v>568</v>
      </c>
      <c r="F21" s="1" t="s">
        <v>569</v>
      </c>
      <c r="G21" s="1" t="s">
        <v>570</v>
      </c>
      <c r="H21" s="1" t="s">
        <v>571</v>
      </c>
      <c r="I21" s="6">
        <v>46189</v>
      </c>
      <c r="J21" s="1" t="s">
        <v>572</v>
      </c>
      <c r="K21" s="1" t="s">
        <v>573</v>
      </c>
      <c r="L21" s="1" t="s">
        <v>29</v>
      </c>
      <c r="M21" s="1" t="s">
        <v>574</v>
      </c>
    </row>
    <row r="22" spans="1:13" ht="51" x14ac:dyDescent="0.2">
      <c r="A22" s="1" t="s">
        <v>575</v>
      </c>
      <c r="B22" s="1" t="s">
        <v>91</v>
      </c>
      <c r="C22" s="1" t="s">
        <v>576</v>
      </c>
      <c r="D22" s="1" t="s">
        <v>577</v>
      </c>
      <c r="E22" s="1" t="s">
        <v>568</v>
      </c>
      <c r="F22" s="1" t="s">
        <v>99</v>
      </c>
      <c r="G22" s="1" t="s">
        <v>430</v>
      </c>
      <c r="H22" s="1" t="s">
        <v>431</v>
      </c>
      <c r="I22" s="6">
        <v>46189</v>
      </c>
      <c r="J22" s="1" t="s">
        <v>578</v>
      </c>
      <c r="K22" s="1" t="s">
        <v>579</v>
      </c>
      <c r="L22" s="1" t="s">
        <v>29</v>
      </c>
      <c r="M22" s="1" t="s">
        <v>580</v>
      </c>
    </row>
    <row r="23" spans="1:13" ht="68" x14ac:dyDescent="0.2">
      <c r="A23" s="1" t="s">
        <v>581</v>
      </c>
      <c r="B23" s="1" t="s">
        <v>102</v>
      </c>
      <c r="C23" s="1" t="s">
        <v>467</v>
      </c>
      <c r="D23" s="1" t="s">
        <v>582</v>
      </c>
      <c r="E23" s="1" t="s">
        <v>102</v>
      </c>
      <c r="F23" s="1" t="s">
        <v>583</v>
      </c>
      <c r="G23" s="1" t="s">
        <v>430</v>
      </c>
      <c r="H23" s="1" t="s">
        <v>431</v>
      </c>
      <c r="I23" s="6">
        <v>46189</v>
      </c>
      <c r="J23" s="1" t="s">
        <v>584</v>
      </c>
      <c r="K23" s="1" t="s">
        <v>112</v>
      </c>
      <c r="L23" s="1" t="s">
        <v>29</v>
      </c>
      <c r="M23" s="1" t="s">
        <v>443</v>
      </c>
    </row>
    <row r="24" spans="1:13" ht="34" x14ac:dyDescent="0.2">
      <c r="A24" s="1" t="s">
        <v>585</v>
      </c>
      <c r="B24" s="1" t="s">
        <v>102</v>
      </c>
      <c r="C24" s="1" t="s">
        <v>586</v>
      </c>
      <c r="D24" s="1" t="s">
        <v>587</v>
      </c>
      <c r="E24" s="1" t="s">
        <v>102</v>
      </c>
      <c r="F24" s="1" t="s">
        <v>588</v>
      </c>
      <c r="G24" s="1" t="s">
        <v>430</v>
      </c>
      <c r="H24" s="1" t="s">
        <v>431</v>
      </c>
      <c r="I24" s="6">
        <v>46189</v>
      </c>
      <c r="J24" s="1" t="s">
        <v>589</v>
      </c>
      <c r="K24" s="1" t="s">
        <v>590</v>
      </c>
      <c r="L24" s="1" t="s">
        <v>29</v>
      </c>
      <c r="M24" s="1" t="s">
        <v>591</v>
      </c>
    </row>
    <row r="25" spans="1:13" ht="34" x14ac:dyDescent="0.2">
      <c r="A25" s="1" t="s">
        <v>592</v>
      </c>
      <c r="B25" s="1" t="s">
        <v>102</v>
      </c>
      <c r="C25" s="1" t="s">
        <v>593</v>
      </c>
      <c r="D25" s="1" t="s">
        <v>594</v>
      </c>
      <c r="E25" s="1" t="s">
        <v>102</v>
      </c>
      <c r="F25" s="1" t="s">
        <v>595</v>
      </c>
      <c r="G25" s="1" t="s">
        <v>430</v>
      </c>
      <c r="H25" s="1" t="s">
        <v>431</v>
      </c>
      <c r="I25" s="6">
        <v>46189</v>
      </c>
      <c r="J25" s="1" t="s">
        <v>596</v>
      </c>
      <c r="K25" s="1" t="s">
        <v>597</v>
      </c>
      <c r="L25" s="1" t="s">
        <v>29</v>
      </c>
      <c r="M25" s="1" t="s">
        <v>523</v>
      </c>
    </row>
    <row r="26" spans="1:13" ht="51" x14ac:dyDescent="0.2">
      <c r="A26" s="1" t="s">
        <v>598</v>
      </c>
      <c r="B26" s="1" t="s">
        <v>116</v>
      </c>
      <c r="C26" s="1" t="s">
        <v>599</v>
      </c>
      <c r="D26" s="1" t="s">
        <v>600</v>
      </c>
      <c r="E26" s="1" t="s">
        <v>116</v>
      </c>
      <c r="F26" s="1" t="s">
        <v>125</v>
      </c>
      <c r="G26" s="1" t="s">
        <v>430</v>
      </c>
      <c r="H26" s="1" t="s">
        <v>431</v>
      </c>
      <c r="I26" s="6">
        <v>46189</v>
      </c>
      <c r="J26" s="1" t="s">
        <v>601</v>
      </c>
      <c r="K26" s="1" t="s">
        <v>602</v>
      </c>
      <c r="L26" s="1" t="s">
        <v>29</v>
      </c>
      <c r="M26" s="1" t="s">
        <v>603</v>
      </c>
    </row>
    <row r="27" spans="1:13" ht="34" x14ac:dyDescent="0.2">
      <c r="A27" s="1" t="s">
        <v>604</v>
      </c>
      <c r="B27" s="1" t="s">
        <v>116</v>
      </c>
      <c r="C27" s="1" t="s">
        <v>142</v>
      </c>
      <c r="D27" s="1" t="s">
        <v>605</v>
      </c>
      <c r="E27" s="1" t="s">
        <v>606</v>
      </c>
      <c r="F27" s="1" t="s">
        <v>607</v>
      </c>
      <c r="G27" s="1" t="s">
        <v>608</v>
      </c>
      <c r="H27" s="1" t="s">
        <v>609</v>
      </c>
      <c r="I27" s="6">
        <v>46189</v>
      </c>
      <c r="J27" s="1" t="s">
        <v>610</v>
      </c>
      <c r="K27" s="1" t="s">
        <v>611</v>
      </c>
      <c r="L27" s="1" t="s">
        <v>51</v>
      </c>
      <c r="M27" s="1" t="s">
        <v>612</v>
      </c>
    </row>
    <row r="28" spans="1:13" ht="102" x14ac:dyDescent="0.2">
      <c r="A28" s="1" t="s">
        <v>613</v>
      </c>
      <c r="B28" s="1" t="s">
        <v>128</v>
      </c>
      <c r="C28" s="1" t="s">
        <v>142</v>
      </c>
      <c r="D28" s="1" t="s">
        <v>614</v>
      </c>
      <c r="E28" s="1" t="s">
        <v>615</v>
      </c>
      <c r="F28" s="1" t="s">
        <v>616</v>
      </c>
      <c r="G28" s="1" t="s">
        <v>617</v>
      </c>
      <c r="H28" s="6">
        <v>45747</v>
      </c>
      <c r="I28" s="6">
        <v>46189</v>
      </c>
      <c r="J28" s="1" t="s">
        <v>618</v>
      </c>
      <c r="K28" s="1" t="s">
        <v>619</v>
      </c>
      <c r="L28" s="1" t="s">
        <v>29</v>
      </c>
      <c r="M28" s="1" t="s">
        <v>620</v>
      </c>
    </row>
    <row r="29" spans="1:13" ht="51" x14ac:dyDescent="0.2">
      <c r="A29" s="1" t="s">
        <v>621</v>
      </c>
      <c r="B29" s="1" t="s">
        <v>128</v>
      </c>
      <c r="C29" s="1" t="s">
        <v>622</v>
      </c>
      <c r="D29" s="1" t="s">
        <v>623</v>
      </c>
      <c r="E29" s="1" t="s">
        <v>615</v>
      </c>
      <c r="F29" s="1" t="s">
        <v>624</v>
      </c>
      <c r="G29" s="1" t="s">
        <v>430</v>
      </c>
      <c r="H29" s="1" t="s">
        <v>431</v>
      </c>
      <c r="I29" s="6">
        <v>46189</v>
      </c>
      <c r="J29" s="1" t="s">
        <v>625</v>
      </c>
      <c r="K29" s="1" t="s">
        <v>626</v>
      </c>
      <c r="L29" s="1" t="s">
        <v>29</v>
      </c>
      <c r="M29" s="1" t="s">
        <v>580</v>
      </c>
    </row>
    <row r="30" spans="1:13" ht="68" x14ac:dyDescent="0.2">
      <c r="A30" s="1" t="s">
        <v>627</v>
      </c>
      <c r="B30" s="1" t="s">
        <v>128</v>
      </c>
      <c r="C30" s="1" t="s">
        <v>628</v>
      </c>
      <c r="D30" s="1" t="s">
        <v>629</v>
      </c>
      <c r="E30" s="1" t="s">
        <v>630</v>
      </c>
      <c r="F30" s="1" t="s">
        <v>631</v>
      </c>
      <c r="G30" s="1" t="s">
        <v>632</v>
      </c>
      <c r="H30" s="1" t="s">
        <v>633</v>
      </c>
      <c r="I30" s="6">
        <v>46189</v>
      </c>
      <c r="J30" s="1" t="s">
        <v>634</v>
      </c>
      <c r="K30" s="1" t="s">
        <v>635</v>
      </c>
      <c r="L30" s="1" t="s">
        <v>29</v>
      </c>
      <c r="M30" s="1" t="s">
        <v>636</v>
      </c>
    </row>
    <row r="31" spans="1:13" ht="34" x14ac:dyDescent="0.2">
      <c r="A31" s="1" t="s">
        <v>637</v>
      </c>
      <c r="B31" s="1" t="s">
        <v>638</v>
      </c>
      <c r="C31" s="1" t="s">
        <v>639</v>
      </c>
      <c r="D31" s="1" t="s">
        <v>640</v>
      </c>
      <c r="E31" s="1" t="s">
        <v>641</v>
      </c>
      <c r="F31" s="1" t="s">
        <v>642</v>
      </c>
      <c r="G31" s="1" t="s">
        <v>643</v>
      </c>
      <c r="H31" s="1" t="s">
        <v>644</v>
      </c>
      <c r="I31" s="6">
        <v>46189</v>
      </c>
      <c r="J31" s="1" t="s">
        <v>645</v>
      </c>
      <c r="K31" s="1" t="s">
        <v>646</v>
      </c>
      <c r="L31" s="1" t="s">
        <v>29</v>
      </c>
      <c r="M31" s="1" t="s">
        <v>647</v>
      </c>
    </row>
    <row r="32" spans="1:13" ht="34" x14ac:dyDescent="0.2">
      <c r="A32" s="1" t="s">
        <v>648</v>
      </c>
      <c r="B32" s="1" t="s">
        <v>638</v>
      </c>
      <c r="C32" s="1" t="s">
        <v>649</v>
      </c>
      <c r="D32" s="1" t="s">
        <v>650</v>
      </c>
      <c r="E32" s="1" t="s">
        <v>651</v>
      </c>
      <c r="F32" s="1" t="s">
        <v>652</v>
      </c>
      <c r="G32" s="1" t="s">
        <v>643</v>
      </c>
      <c r="H32" s="1" t="s">
        <v>653</v>
      </c>
      <c r="I32" s="6">
        <v>46189</v>
      </c>
      <c r="J32" s="1" t="s">
        <v>654</v>
      </c>
      <c r="K32" s="1" t="s">
        <v>655</v>
      </c>
      <c r="L32" s="1" t="s">
        <v>29</v>
      </c>
      <c r="M32" s="1" t="s">
        <v>656</v>
      </c>
    </row>
    <row r="33" spans="1:13" ht="34" x14ac:dyDescent="0.2">
      <c r="A33" s="1" t="s">
        <v>657</v>
      </c>
      <c r="B33" s="1" t="s">
        <v>638</v>
      </c>
      <c r="C33" s="1" t="s">
        <v>658</v>
      </c>
      <c r="D33" s="1" t="s">
        <v>659</v>
      </c>
      <c r="E33" s="1" t="s">
        <v>660</v>
      </c>
      <c r="F33" s="1" t="s">
        <v>661</v>
      </c>
      <c r="G33" s="1" t="s">
        <v>662</v>
      </c>
      <c r="H33" s="6">
        <v>46063</v>
      </c>
      <c r="I33" s="6">
        <v>46189</v>
      </c>
      <c r="J33" s="1" t="s">
        <v>663</v>
      </c>
      <c r="K33" s="1" t="s">
        <v>664</v>
      </c>
      <c r="L33" s="1" t="s">
        <v>29</v>
      </c>
      <c r="M33" s="1" t="s">
        <v>665</v>
      </c>
    </row>
    <row r="34" spans="1:13" ht="51" x14ac:dyDescent="0.2">
      <c r="A34" s="1" t="s">
        <v>666</v>
      </c>
      <c r="B34" s="1" t="s">
        <v>638</v>
      </c>
      <c r="C34" s="1" t="s">
        <v>667</v>
      </c>
      <c r="D34" s="1" t="s">
        <v>668</v>
      </c>
      <c r="E34" s="1" t="s">
        <v>669</v>
      </c>
      <c r="F34" s="1" t="s">
        <v>670</v>
      </c>
      <c r="G34" s="1" t="s">
        <v>671</v>
      </c>
      <c r="H34" s="1">
        <v>2026</v>
      </c>
      <c r="I34" s="6">
        <v>46189</v>
      </c>
      <c r="J34" s="1" t="s">
        <v>672</v>
      </c>
      <c r="K34" s="1" t="s">
        <v>673</v>
      </c>
      <c r="L34" s="1" t="s">
        <v>29</v>
      </c>
      <c r="M34" s="1" t="s">
        <v>674</v>
      </c>
    </row>
    <row r="35" spans="1:13" ht="34" x14ac:dyDescent="0.2">
      <c r="A35" s="1" t="s">
        <v>675</v>
      </c>
      <c r="B35" s="1" t="s">
        <v>638</v>
      </c>
      <c r="C35" s="1" t="s">
        <v>676</v>
      </c>
      <c r="D35" s="1" t="s">
        <v>677</v>
      </c>
      <c r="E35" s="1" t="s">
        <v>678</v>
      </c>
      <c r="F35" s="1" t="s">
        <v>679</v>
      </c>
      <c r="G35" s="1" t="s">
        <v>680</v>
      </c>
      <c r="H35" s="1" t="s">
        <v>681</v>
      </c>
      <c r="I35" s="6">
        <v>46189</v>
      </c>
      <c r="J35" s="1" t="s">
        <v>682</v>
      </c>
      <c r="K35" s="1" t="s">
        <v>683</v>
      </c>
      <c r="L35" s="1" t="s">
        <v>29</v>
      </c>
      <c r="M35" s="1" t="s">
        <v>684</v>
      </c>
    </row>
    <row r="36" spans="1:13" ht="68" x14ac:dyDescent="0.2">
      <c r="A36" s="1" t="s">
        <v>685</v>
      </c>
      <c r="B36" s="1" t="s">
        <v>638</v>
      </c>
      <c r="C36" s="1" t="s">
        <v>686</v>
      </c>
      <c r="D36" s="1" t="s">
        <v>687</v>
      </c>
      <c r="E36" s="1" t="s">
        <v>688</v>
      </c>
      <c r="F36" s="1" t="s">
        <v>689</v>
      </c>
      <c r="G36" s="1" t="s">
        <v>690</v>
      </c>
      <c r="H36" s="6">
        <v>45671</v>
      </c>
      <c r="I36" s="6">
        <v>46189</v>
      </c>
      <c r="J36" s="1" t="s">
        <v>691</v>
      </c>
      <c r="K36" s="1" t="s">
        <v>692</v>
      </c>
      <c r="L36" s="1" t="s">
        <v>29</v>
      </c>
      <c r="M36" s="1"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Capability Matrix</vt:lpstr>
      <vt:lpstr>Supplier Master</vt:lpstr>
      <vt:lpstr>Country Risk Matrix</vt:lpstr>
      <vt:lpstr>Scoring Inputs</vt:lpstr>
      <vt:lpstr>Country Trade Risk</vt:lpstr>
      <vt:lpstr>Geographic Diversification</vt:lpstr>
      <vt:lpstr>Advanced Packaging AI Fit</vt:lpstr>
      <vt:lpstr>Technical Capability</vt:lpstr>
      <vt:lpstr>Financial Scale</vt:lpstr>
      <vt:lpstr>US Buyer Fit</vt:lpstr>
      <vt:lpstr>Cost Exposure Proxy</vt:lpstr>
      <vt:lpstr>Data Confidence</vt:lpstr>
      <vt:lpstr>Weighted Score Model</vt:lpstr>
      <vt:lpstr>Source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Shiven Parikh</dc:creator>
  <cp:lastModifiedBy>Shiven Parikh</cp:lastModifiedBy>
  <dcterms:created xsi:type="dcterms:W3CDTF">2026-06-16T07:24:22Z</dcterms:created>
  <dcterms:modified xsi:type="dcterms:W3CDTF">2026-06-16T10:15:20Z</dcterms:modified>
</cp:coreProperties>
</file>