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enparikh/Desktop/"/>
    </mc:Choice>
  </mc:AlternateContent>
  <xr:revisionPtr revIDLastSave="0" documentId="13_ncr:1_{03600CB0-B8C7-D848-8F8D-3D13E17AD9CA}" xr6:coauthVersionLast="47" xr6:coauthVersionMax="47" xr10:uidLastSave="{00000000-0000-0000-0000-000000000000}"/>
  <bookViews>
    <workbookView xWindow="160" yWindow="920" windowWidth="19140" windowHeight="16520" firstSheet="1" activeTab="5" xr2:uid="{E7891527-3E50-B343-9846-69002C0B8D33}"/>
  </bookViews>
  <sheets>
    <sheet name="Simplified BOM" sheetId="1" r:id="rId1"/>
    <sheet name="Supplier Master" sheetId="2" r:id="rId2"/>
    <sheet name="Inventory Master" sheetId="3" r:id="rId3"/>
    <sheet name="Kitting Readiness Tracker" sheetId="4" r:id="rId4"/>
    <sheet name="Shortage Tracker" sheetId="5" r:id="rId5"/>
    <sheet name="Risk Scoring Model" sheetId="6" r:id="rId6"/>
  </sheets>
  <definedNames>
    <definedName name="_xlnm._FilterDatabase" localSheetId="0" hidden="1">'Simplified BOM'!$A$1:$P$111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9" i="6" l="1"/>
  <c r="L9" i="6"/>
  <c r="M9" i="6" s="1"/>
  <c r="L10" i="6"/>
  <c r="M10" i="6" s="1"/>
  <c r="L11" i="6"/>
  <c r="M11" i="6" s="1"/>
  <c r="L12" i="6"/>
  <c r="M12" i="6" s="1"/>
  <c r="L19" i="6"/>
  <c r="M19" i="6" s="1"/>
  <c r="L20" i="6"/>
  <c r="M20" i="6" s="1"/>
  <c r="L21" i="6"/>
  <c r="M21" i="6" s="1"/>
  <c r="L22" i="6"/>
  <c r="M22" i="6" s="1"/>
  <c r="L29" i="6"/>
  <c r="L30" i="6"/>
  <c r="M30" i="6" s="1"/>
  <c r="L31" i="6"/>
  <c r="M31" i="6" s="1"/>
  <c r="L32" i="6"/>
  <c r="M32" i="6" s="1"/>
  <c r="L38" i="6"/>
  <c r="M38" i="6" s="1"/>
  <c r="L39" i="6"/>
  <c r="M39" i="6" s="1"/>
  <c r="L40" i="6"/>
  <c r="M40" i="6" s="1"/>
  <c r="L41" i="6"/>
  <c r="M41" i="6" s="1"/>
  <c r="L42" i="6"/>
  <c r="M42" i="6" s="1"/>
  <c r="L48" i="6"/>
  <c r="M48" i="6" s="1"/>
  <c r="L49" i="6"/>
  <c r="M49" i="6" s="1"/>
  <c r="L50" i="6"/>
  <c r="M50" i="6" s="1"/>
  <c r="L51" i="6"/>
  <c r="M51" i="6" s="1"/>
  <c r="L52" i="6"/>
  <c r="M52" i="6" s="1"/>
  <c r="L58" i="6"/>
  <c r="M58" i="6" s="1"/>
  <c r="L59" i="6"/>
  <c r="M59" i="6" s="1"/>
  <c r="L60" i="6"/>
  <c r="M60" i="6" s="1"/>
  <c r="L61" i="6"/>
  <c r="M61" i="6" s="1"/>
  <c r="L62" i="6"/>
  <c r="M62" i="6" s="1"/>
  <c r="L68" i="6"/>
  <c r="M68" i="6" s="1"/>
  <c r="L69" i="6"/>
  <c r="M69" i="6" s="1"/>
  <c r="L70" i="6"/>
  <c r="M70" i="6" s="1"/>
  <c r="L71" i="6"/>
  <c r="M71" i="6" s="1"/>
  <c r="L72" i="6"/>
  <c r="M72" i="6" s="1"/>
  <c r="L78" i="6"/>
  <c r="M78" i="6" s="1"/>
  <c r="L79" i="6"/>
  <c r="M79" i="6" s="1"/>
  <c r="L80" i="6"/>
  <c r="M80" i="6" s="1"/>
  <c r="L81" i="6"/>
  <c r="M81" i="6" s="1"/>
  <c r="L82" i="6"/>
  <c r="M82" i="6" s="1"/>
  <c r="L88" i="6"/>
  <c r="M88" i="6" s="1"/>
  <c r="L89" i="6"/>
  <c r="M89" i="6" s="1"/>
  <c r="L90" i="6"/>
  <c r="M90" i="6" s="1"/>
  <c r="L91" i="6"/>
  <c r="M91" i="6" s="1"/>
  <c r="L92" i="6"/>
  <c r="M92" i="6" s="1"/>
  <c r="L98" i="6"/>
  <c r="M98" i="6" s="1"/>
  <c r="L99" i="6"/>
  <c r="M99" i="6" s="1"/>
  <c r="L100" i="6"/>
  <c r="M100" i="6" s="1"/>
  <c r="L101" i="6"/>
  <c r="M101" i="6" s="1"/>
  <c r="K37" i="6"/>
  <c r="L37" i="6" s="1"/>
  <c r="M37" i="6" s="1"/>
  <c r="K38" i="6"/>
  <c r="K39" i="6"/>
  <c r="K40" i="6"/>
  <c r="K41" i="6"/>
  <c r="K42" i="6"/>
  <c r="K43" i="6"/>
  <c r="L43" i="6" s="1"/>
  <c r="M43" i="6" s="1"/>
  <c r="K44" i="6"/>
  <c r="L44" i="6" s="1"/>
  <c r="M44" i="6" s="1"/>
  <c r="K45" i="6"/>
  <c r="L45" i="6" s="1"/>
  <c r="M45" i="6" s="1"/>
  <c r="K46" i="6"/>
  <c r="L46" i="6" s="1"/>
  <c r="M46" i="6" s="1"/>
  <c r="K47" i="6"/>
  <c r="L47" i="6" s="1"/>
  <c r="M47" i="6" s="1"/>
  <c r="K48" i="6"/>
  <c r="K49" i="6"/>
  <c r="K50" i="6"/>
  <c r="K51" i="6"/>
  <c r="K52" i="6"/>
  <c r="K53" i="6"/>
  <c r="L53" i="6" s="1"/>
  <c r="M53" i="6" s="1"/>
  <c r="K54" i="6"/>
  <c r="L54" i="6" s="1"/>
  <c r="M54" i="6" s="1"/>
  <c r="K55" i="6"/>
  <c r="L55" i="6" s="1"/>
  <c r="M55" i="6" s="1"/>
  <c r="K56" i="6"/>
  <c r="L56" i="6" s="1"/>
  <c r="M56" i="6" s="1"/>
  <c r="K57" i="6"/>
  <c r="L57" i="6" s="1"/>
  <c r="M57" i="6" s="1"/>
  <c r="K58" i="6"/>
  <c r="K59" i="6"/>
  <c r="K60" i="6"/>
  <c r="K61" i="6"/>
  <c r="K62" i="6"/>
  <c r="K63" i="6"/>
  <c r="L63" i="6" s="1"/>
  <c r="M63" i="6" s="1"/>
  <c r="K64" i="6"/>
  <c r="L64" i="6" s="1"/>
  <c r="M64" i="6" s="1"/>
  <c r="K65" i="6"/>
  <c r="L65" i="6" s="1"/>
  <c r="M65" i="6" s="1"/>
  <c r="K66" i="6"/>
  <c r="L66" i="6" s="1"/>
  <c r="M66" i="6" s="1"/>
  <c r="K67" i="6"/>
  <c r="L67" i="6" s="1"/>
  <c r="M67" i="6" s="1"/>
  <c r="K68" i="6"/>
  <c r="K69" i="6"/>
  <c r="K70" i="6"/>
  <c r="K71" i="6"/>
  <c r="K72" i="6"/>
  <c r="K73" i="6"/>
  <c r="L73" i="6" s="1"/>
  <c r="M73" i="6" s="1"/>
  <c r="K74" i="6"/>
  <c r="L74" i="6" s="1"/>
  <c r="M74" i="6" s="1"/>
  <c r="K75" i="6"/>
  <c r="L75" i="6" s="1"/>
  <c r="M75" i="6" s="1"/>
  <c r="K76" i="6"/>
  <c r="L76" i="6" s="1"/>
  <c r="M76" i="6" s="1"/>
  <c r="K77" i="6"/>
  <c r="L77" i="6" s="1"/>
  <c r="M77" i="6" s="1"/>
  <c r="K78" i="6"/>
  <c r="K79" i="6"/>
  <c r="K80" i="6"/>
  <c r="K81" i="6"/>
  <c r="K82" i="6"/>
  <c r="K83" i="6"/>
  <c r="L83" i="6" s="1"/>
  <c r="M83" i="6" s="1"/>
  <c r="K84" i="6"/>
  <c r="L84" i="6" s="1"/>
  <c r="M84" i="6" s="1"/>
  <c r="K85" i="6"/>
  <c r="L85" i="6" s="1"/>
  <c r="M85" i="6" s="1"/>
  <c r="K86" i="6"/>
  <c r="L86" i="6" s="1"/>
  <c r="M86" i="6" s="1"/>
  <c r="K87" i="6"/>
  <c r="L87" i="6" s="1"/>
  <c r="M87" i="6" s="1"/>
  <c r="K88" i="6"/>
  <c r="K89" i="6"/>
  <c r="K90" i="6"/>
  <c r="K91" i="6"/>
  <c r="K92" i="6"/>
  <c r="K93" i="6"/>
  <c r="L93" i="6" s="1"/>
  <c r="M93" i="6" s="1"/>
  <c r="K94" i="6"/>
  <c r="L94" i="6" s="1"/>
  <c r="M94" i="6" s="1"/>
  <c r="K95" i="6"/>
  <c r="L95" i="6" s="1"/>
  <c r="M95" i="6" s="1"/>
  <c r="K96" i="6"/>
  <c r="L96" i="6" s="1"/>
  <c r="M96" i="6" s="1"/>
  <c r="K97" i="6"/>
  <c r="L97" i="6" s="1"/>
  <c r="M97" i="6" s="1"/>
  <c r="K98" i="6"/>
  <c r="K99" i="6"/>
  <c r="K100" i="6"/>
  <c r="K101" i="6"/>
  <c r="K3" i="6"/>
  <c r="L3" i="6" s="1"/>
  <c r="M3" i="6" s="1"/>
  <c r="K4" i="6"/>
  <c r="L4" i="6" s="1"/>
  <c r="M4" i="6" s="1"/>
  <c r="K5" i="6"/>
  <c r="L5" i="6" s="1"/>
  <c r="M5" i="6" s="1"/>
  <c r="K6" i="6"/>
  <c r="L6" i="6" s="1"/>
  <c r="M6" i="6" s="1"/>
  <c r="K7" i="6"/>
  <c r="L7" i="6" s="1"/>
  <c r="M7" i="6" s="1"/>
  <c r="K8" i="6"/>
  <c r="L8" i="6" s="1"/>
  <c r="M8" i="6" s="1"/>
  <c r="K9" i="6"/>
  <c r="K10" i="6"/>
  <c r="K11" i="6"/>
  <c r="K12" i="6"/>
  <c r="K13" i="6"/>
  <c r="L13" i="6" s="1"/>
  <c r="M13" i="6" s="1"/>
  <c r="K14" i="6"/>
  <c r="L14" i="6" s="1"/>
  <c r="M14" i="6" s="1"/>
  <c r="K15" i="6"/>
  <c r="L15" i="6" s="1"/>
  <c r="M15" i="6" s="1"/>
  <c r="K16" i="6"/>
  <c r="L16" i="6" s="1"/>
  <c r="M16" i="6" s="1"/>
  <c r="K17" i="6"/>
  <c r="L17" i="6" s="1"/>
  <c r="M17" i="6" s="1"/>
  <c r="K18" i="6"/>
  <c r="L18" i="6" s="1"/>
  <c r="M18" i="6" s="1"/>
  <c r="K19" i="6"/>
  <c r="K20" i="6"/>
  <c r="K21" i="6"/>
  <c r="K22" i="6"/>
  <c r="K23" i="6"/>
  <c r="L23" i="6" s="1"/>
  <c r="M23" i="6" s="1"/>
  <c r="K24" i="6"/>
  <c r="L24" i="6" s="1"/>
  <c r="M24" i="6" s="1"/>
  <c r="K25" i="6"/>
  <c r="L25" i="6" s="1"/>
  <c r="M25" i="6" s="1"/>
  <c r="K26" i="6"/>
  <c r="L26" i="6" s="1"/>
  <c r="M26" i="6" s="1"/>
  <c r="K27" i="6"/>
  <c r="L27" i="6" s="1"/>
  <c r="M27" i="6" s="1"/>
  <c r="K28" i="6"/>
  <c r="L28" i="6" s="1"/>
  <c r="M28" i="6" s="1"/>
  <c r="K29" i="6"/>
  <c r="K30" i="6"/>
  <c r="K31" i="6"/>
  <c r="K32" i="6"/>
  <c r="K33" i="6"/>
  <c r="L33" i="6" s="1"/>
  <c r="M33" i="6" s="1"/>
  <c r="K34" i="6"/>
  <c r="L34" i="6" s="1"/>
  <c r="M34" i="6" s="1"/>
  <c r="K35" i="6"/>
  <c r="L35" i="6" s="1"/>
  <c r="M35" i="6" s="1"/>
  <c r="K36" i="6"/>
  <c r="L36" i="6" s="1"/>
  <c r="M36" i="6" s="1"/>
  <c r="K2" i="6"/>
  <c r="L2" i="6" s="1"/>
  <c r="M2" i="6" s="1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2" i="4"/>
  <c r="O76" i="3"/>
  <c r="O78" i="3"/>
  <c r="O88" i="3"/>
  <c r="O89" i="3"/>
  <c r="O90" i="3"/>
  <c r="O96" i="3"/>
  <c r="O99" i="3"/>
  <c r="O106" i="3"/>
  <c r="O93" i="3"/>
  <c r="O83" i="3"/>
  <c r="O86" i="3"/>
  <c r="O92" i="3"/>
  <c r="O19" i="3"/>
  <c r="O20" i="3"/>
  <c r="O21" i="3"/>
  <c r="O22" i="3"/>
  <c r="O34" i="3"/>
  <c r="O42" i="3"/>
  <c r="O43" i="3"/>
  <c r="O44" i="3"/>
  <c r="O62" i="3"/>
  <c r="O71" i="3"/>
  <c r="O72" i="3"/>
  <c r="O82" i="3"/>
  <c r="O14" i="3"/>
  <c r="O16" i="3"/>
  <c r="O18" i="3"/>
  <c r="O26" i="3"/>
  <c r="O2" i="3"/>
  <c r="O27" i="3"/>
  <c r="O28" i="3"/>
  <c r="O29" i="3"/>
  <c r="O36" i="3"/>
  <c r="O37" i="3"/>
  <c r="O38" i="3"/>
  <c r="O46" i="3"/>
  <c r="O47" i="3"/>
  <c r="O49" i="3"/>
  <c r="O56" i="3"/>
  <c r="O57" i="3"/>
  <c r="O66" i="3"/>
  <c r="O70" i="3"/>
  <c r="O10" i="3"/>
  <c r="O11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2" i="2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" i="1"/>
  <c r="M2" i="1" s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M52" i="1" s="1"/>
  <c r="K53" i="1"/>
  <c r="M53" i="1" s="1"/>
  <c r="K54" i="1"/>
  <c r="K55" i="1"/>
  <c r="K56" i="1"/>
  <c r="K57" i="1"/>
  <c r="K58" i="1"/>
  <c r="K59" i="1"/>
  <c r="K60" i="1"/>
  <c r="K61" i="1"/>
  <c r="K62" i="1"/>
  <c r="M62" i="1" s="1"/>
  <c r="K63" i="1"/>
  <c r="M63" i="1" s="1"/>
  <c r="K64" i="1"/>
  <c r="K65" i="1"/>
  <c r="K66" i="1"/>
  <c r="K67" i="1"/>
  <c r="K68" i="1"/>
  <c r="M68" i="1" s="1"/>
  <c r="K69" i="1"/>
  <c r="K70" i="1"/>
  <c r="K71" i="1"/>
  <c r="K72" i="1"/>
  <c r="M72" i="1" s="1"/>
  <c r="K73" i="1"/>
  <c r="M73" i="1" s="1"/>
  <c r="K74" i="1"/>
  <c r="K75" i="1"/>
  <c r="K76" i="1"/>
  <c r="K77" i="1"/>
  <c r="K78" i="1"/>
  <c r="M78" i="1" s="1"/>
  <c r="K79" i="1"/>
  <c r="K80" i="1"/>
  <c r="K81" i="1"/>
  <c r="K82" i="1"/>
  <c r="M82" i="1" s="1"/>
  <c r="K83" i="1"/>
  <c r="M83" i="1" s="1"/>
  <c r="K84" i="1"/>
  <c r="K85" i="1"/>
  <c r="K86" i="1"/>
  <c r="K87" i="1"/>
  <c r="K88" i="1"/>
  <c r="M88" i="1" s="1"/>
  <c r="K89" i="1"/>
  <c r="K90" i="1"/>
  <c r="K91" i="1"/>
  <c r="K92" i="1"/>
  <c r="M92" i="1" s="1"/>
  <c r="K93" i="1"/>
  <c r="M93" i="1" s="1"/>
  <c r="K94" i="1"/>
  <c r="K95" i="1"/>
  <c r="K96" i="1"/>
  <c r="K97" i="1"/>
  <c r="K98" i="1"/>
  <c r="M98" i="1" s="1"/>
  <c r="K99" i="1"/>
  <c r="K100" i="1"/>
  <c r="K101" i="1"/>
  <c r="K102" i="1"/>
  <c r="M102" i="1" s="1"/>
  <c r="K103" i="1"/>
  <c r="M103" i="1" s="1"/>
  <c r="K104" i="1"/>
  <c r="K105" i="1"/>
  <c r="K106" i="1"/>
  <c r="K107" i="1"/>
  <c r="K108" i="1"/>
  <c r="K109" i="1"/>
  <c r="K110" i="1"/>
  <c r="K111" i="1"/>
  <c r="K18" i="1"/>
  <c r="K19" i="1"/>
  <c r="K20" i="1"/>
  <c r="K21" i="1"/>
  <c r="K22" i="1"/>
  <c r="K23" i="1"/>
  <c r="K24" i="1"/>
  <c r="K25" i="1"/>
  <c r="M25" i="1" s="1"/>
  <c r="K26" i="1"/>
  <c r="K27" i="1"/>
  <c r="K28" i="1"/>
  <c r="K29" i="1"/>
  <c r="K30" i="1"/>
  <c r="K31" i="1"/>
  <c r="K32" i="1"/>
  <c r="K33" i="1"/>
  <c r="K34" i="1"/>
  <c r="K35" i="1"/>
  <c r="K3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O61" i="3" l="1"/>
  <c r="O111" i="3"/>
  <c r="O33" i="3"/>
  <c r="O64" i="3"/>
  <c r="O32" i="3"/>
  <c r="O15" i="3"/>
  <c r="O41" i="3"/>
  <c r="O63" i="3"/>
  <c r="O91" i="3"/>
  <c r="O84" i="3"/>
  <c r="O94" i="3"/>
  <c r="O104" i="3"/>
  <c r="O13" i="3"/>
  <c r="O103" i="3"/>
  <c r="O81" i="3"/>
  <c r="O53" i="3"/>
  <c r="O31" i="3"/>
  <c r="O12" i="3"/>
  <c r="O102" i="3"/>
  <c r="O74" i="3"/>
  <c r="O52" i="3"/>
  <c r="O54" i="3"/>
  <c r="O101" i="3"/>
  <c r="O73" i="3"/>
  <c r="O51" i="3"/>
  <c r="O105" i="3"/>
  <c r="O95" i="3"/>
  <c r="O85" i="3"/>
  <c r="O75" i="3"/>
  <c r="O65" i="3"/>
  <c r="O55" i="3"/>
  <c r="O45" i="3"/>
  <c r="O35" i="3"/>
  <c r="O110" i="3"/>
  <c r="O80" i="3"/>
  <c r="O50" i="3"/>
  <c r="O40" i="3"/>
  <c r="O109" i="3"/>
  <c r="O79" i="3"/>
  <c r="O59" i="3"/>
  <c r="O39" i="3"/>
  <c r="O108" i="3"/>
  <c r="O98" i="3"/>
  <c r="O68" i="3"/>
  <c r="O58" i="3"/>
  <c r="O48" i="3"/>
  <c r="O100" i="3"/>
  <c r="O60" i="3"/>
  <c r="O30" i="3"/>
  <c r="O69" i="3"/>
  <c r="O107" i="3"/>
  <c r="O97" i="3"/>
  <c r="O87" i="3"/>
  <c r="O77" i="3"/>
  <c r="O67" i="3"/>
  <c r="O24" i="3"/>
  <c r="O23" i="3"/>
  <c r="O25" i="3"/>
  <c r="O17" i="3"/>
  <c r="M96" i="1"/>
  <c r="M86" i="1"/>
  <c r="M76" i="1"/>
  <c r="M66" i="1"/>
  <c r="M56" i="1"/>
  <c r="M58" i="1"/>
  <c r="M111" i="1"/>
  <c r="M26" i="1"/>
  <c r="M94" i="1"/>
  <c r="M84" i="1"/>
  <c r="M74" i="1"/>
  <c r="M64" i="1"/>
  <c r="M54" i="1"/>
  <c r="M44" i="1"/>
  <c r="M14" i="1"/>
  <c r="M108" i="1"/>
  <c r="M33" i="1"/>
  <c r="M23" i="1"/>
  <c r="M13" i="1"/>
  <c r="M34" i="1"/>
  <c r="M50" i="1"/>
  <c r="M40" i="1"/>
  <c r="M12" i="1"/>
  <c r="M110" i="1"/>
  <c r="M109" i="1"/>
  <c r="M24" i="1"/>
  <c r="M11" i="1"/>
  <c r="M15" i="1"/>
  <c r="M79" i="1"/>
  <c r="M107" i="1"/>
  <c r="M22" i="1"/>
  <c r="M49" i="1"/>
  <c r="M39" i="1"/>
  <c r="M38" i="1"/>
  <c r="M85" i="1"/>
  <c r="M55" i="1"/>
  <c r="M10" i="1"/>
  <c r="M104" i="1"/>
  <c r="M46" i="1"/>
  <c r="M28" i="1"/>
  <c r="M18" i="1"/>
  <c r="M99" i="1"/>
  <c r="M89" i="1"/>
  <c r="M59" i="1"/>
  <c r="M97" i="1"/>
  <c r="M77" i="1"/>
  <c r="M106" i="1"/>
  <c r="M48" i="1"/>
  <c r="M105" i="1"/>
  <c r="M95" i="1"/>
  <c r="M65" i="1"/>
  <c r="M30" i="1"/>
  <c r="M43" i="1"/>
  <c r="M37" i="1"/>
  <c r="M19" i="1"/>
  <c r="M42" i="1"/>
  <c r="M36" i="1"/>
  <c r="M101" i="1"/>
  <c r="M91" i="1"/>
  <c r="M81" i="1"/>
  <c r="M71" i="1"/>
  <c r="M61" i="1"/>
  <c r="M51" i="1"/>
  <c r="M41" i="1"/>
  <c r="M45" i="1"/>
  <c r="M35" i="1"/>
  <c r="M27" i="1"/>
  <c r="M17" i="1"/>
  <c r="M69" i="1"/>
  <c r="M87" i="1"/>
  <c r="M67" i="1"/>
  <c r="M57" i="1"/>
  <c r="M32" i="1"/>
  <c r="M31" i="1"/>
  <c r="M21" i="1"/>
  <c r="M75" i="1"/>
  <c r="M20" i="1"/>
  <c r="M47" i="1"/>
  <c r="M29" i="1"/>
  <c r="M100" i="1"/>
  <c r="M90" i="1"/>
  <c r="M80" i="1"/>
  <c r="M70" i="1"/>
  <c r="M60" i="1"/>
  <c r="M16" i="1"/>
</calcChain>
</file>

<file path=xl/sharedStrings.xml><?xml version="1.0" encoding="utf-8"?>
<sst xmlns="http://schemas.openxmlformats.org/spreadsheetml/2006/main" count="4588" uniqueCount="651">
  <si>
    <t>Electronics</t>
  </si>
  <si>
    <t>BOM Level</t>
  </si>
  <si>
    <t>Parent Assembly</t>
  </si>
  <si>
    <t>Component / Material</t>
  </si>
  <si>
    <t>Qty per Vehicle</t>
  </si>
  <si>
    <t>Unit</t>
  </si>
  <si>
    <t>Category</t>
  </si>
  <si>
    <t>Final Vehicle</t>
  </si>
  <si>
    <t>Electric Vehicle Final Assembly</t>
  </si>
  <si>
    <t>vehicle</t>
  </si>
  <si>
    <t>Final product</t>
  </si>
  <si>
    <t>Structural Battery Pack System</t>
  </si>
  <si>
    <t>assembly</t>
  </si>
  <si>
    <t>Battery</t>
  </si>
  <si>
    <t>Battery Pack System</t>
  </si>
  <si>
    <t>Battery Pack Lower Enclosure</t>
  </si>
  <si>
    <t>each</t>
  </si>
  <si>
    <t>Structural</t>
  </si>
  <si>
    <t>Battery Pack Upper Cover</t>
  </si>
  <si>
    <t>Battery Modules</t>
  </si>
  <si>
    <t>modules</t>
  </si>
  <si>
    <t>Cylindrical Battery Cells</t>
  </si>
  <si>
    <t>cells</t>
  </si>
  <si>
    <t>Cell Holders / Spacers</t>
  </si>
  <si>
    <t>sets</t>
  </si>
  <si>
    <t>Battery hardware</t>
  </si>
  <si>
    <t>Module Side Plates</t>
  </si>
  <si>
    <t>Module End Plates</t>
  </si>
  <si>
    <t>Cell Interconnect Plates</t>
  </si>
  <si>
    <t>Electrical</t>
  </si>
  <si>
    <t>Nickel Cell Tabs</t>
  </si>
  <si>
    <t>tabs</t>
  </si>
  <si>
    <t>Copper Busbars</t>
  </si>
  <si>
    <t>Aluminum Busbars</t>
  </si>
  <si>
    <t>Thermal Interface Pads</t>
  </si>
  <si>
    <t>Thermal</t>
  </si>
  <si>
    <t>Module Insulation Sheets</t>
  </si>
  <si>
    <t>sheets</t>
  </si>
  <si>
    <t>Safety</t>
  </si>
  <si>
    <t>Cell-Level Adhesive</t>
  </si>
  <si>
    <t>kg</t>
  </si>
  <si>
    <t>Consumable</t>
  </si>
  <si>
    <t>Battery Management System Board</t>
  </si>
  <si>
    <t>BMS Slave Boards</t>
  </si>
  <si>
    <t>Voltage Sense Harness</t>
  </si>
  <si>
    <t>set</t>
  </si>
  <si>
    <t>Temperature Sensors</t>
  </si>
  <si>
    <t>sensors</t>
  </si>
  <si>
    <t>Current Sensor</t>
  </si>
  <si>
    <t>High-Voltage Contactors</t>
  </si>
  <si>
    <t>Pre-Charge Resistor</t>
  </si>
  <si>
    <t>High-Voltage Fuse</t>
  </si>
  <si>
    <t>Pack Service Disconnect</t>
  </si>
  <si>
    <t>Battery Cooling Plates</t>
  </si>
  <si>
    <t>plates</t>
  </si>
  <si>
    <t>Coolant Manifold</t>
  </si>
  <si>
    <t>Pack Coolant Tubes</t>
  </si>
  <si>
    <t>tubes</t>
  </si>
  <si>
    <t>Battery Pack Gasket Seal</t>
  </si>
  <si>
    <t>Sealing</t>
  </si>
  <si>
    <t>Pack Fastener Set</t>
  </si>
  <si>
    <t>Hardware</t>
  </si>
  <si>
    <t>Pack Barcode / Traceability Labels</t>
  </si>
  <si>
    <t>Traceability</t>
  </si>
  <si>
    <t>Electric Drive Unit</t>
  </si>
  <si>
    <t>Powertrain</t>
  </si>
  <si>
    <t>Electric Motor Assembly</t>
  </si>
  <si>
    <t>Stator Core</t>
  </si>
  <si>
    <t>Motor</t>
  </si>
  <si>
    <t>Rotor Assembly</t>
  </si>
  <si>
    <t>Copper Windings</t>
  </si>
  <si>
    <t>Permanent Magnets</t>
  </si>
  <si>
    <t>Motor Housing</t>
  </si>
  <si>
    <t>Motor Bearings</t>
  </si>
  <si>
    <t>Motor Shaft</t>
  </si>
  <si>
    <t>Resolver / Position Sensor</t>
  </si>
  <si>
    <t>Inverter Assembly</t>
  </si>
  <si>
    <t>Power electronics</t>
  </si>
  <si>
    <t>Power Semiconductor Module</t>
  </si>
  <si>
    <t>Inverter Control PCB</t>
  </si>
  <si>
    <t>DC Link Capacitor</t>
  </si>
  <si>
    <t>Inverter Cooling Plate</t>
  </si>
  <si>
    <t>Inverter Housing</t>
  </si>
  <si>
    <t>Single-Speed Gearbox</t>
  </si>
  <si>
    <t>Drivetrain</t>
  </si>
  <si>
    <t>Gearbox</t>
  </si>
  <si>
    <t>Gear Set</t>
  </si>
  <si>
    <t>Differential Assembly</t>
  </si>
  <si>
    <t>Gearbox Bearings</t>
  </si>
  <si>
    <t>Gearbox Lubricant</t>
  </si>
  <si>
    <t>liter</t>
  </si>
  <si>
    <t>Drive Unit Mounting Brackets</t>
  </si>
  <si>
    <t>Drive Unit Fastener Set</t>
  </si>
  <si>
    <t>Power Electronics and Charging System</t>
  </si>
  <si>
    <t>Power Electronics</t>
  </si>
  <si>
    <t>Onboard Charger</t>
  </si>
  <si>
    <t>Charging</t>
  </si>
  <si>
    <t>DC-DC Converter</t>
  </si>
  <si>
    <t>Charge Port Assembly</t>
  </si>
  <si>
    <t>Charge Port Door Actuator</t>
  </si>
  <si>
    <t>High-Voltage Junction Box</t>
  </si>
  <si>
    <t>HV Cable Set</t>
  </si>
  <si>
    <t>12V Auxiliary Battery</t>
  </si>
  <si>
    <t>Low-Voltage Fuse Box</t>
  </si>
  <si>
    <t>Relay Set</t>
  </si>
  <si>
    <t>Wiring and Control System</t>
  </si>
  <si>
    <t>Wiring and Control</t>
  </si>
  <si>
    <t>Main Body Wiring Harness</t>
  </si>
  <si>
    <t>Front Harness</t>
  </si>
  <si>
    <t>Rear Harness</t>
  </si>
  <si>
    <t>Door Harness Set</t>
  </si>
  <si>
    <t>Battery Pack Harness</t>
  </si>
  <si>
    <t>Vehicle Control Unit</t>
  </si>
  <si>
    <t>Body Control Module</t>
  </si>
  <si>
    <t>Gateway / Domain Controller</t>
  </si>
  <si>
    <t>Sensor Connector Set</t>
  </si>
  <si>
    <t>Wiring Clips and Retainers</t>
  </si>
  <si>
    <t>Chassis and Body Structure</t>
  </si>
  <si>
    <t>Body</t>
  </si>
  <si>
    <t>Chassis and Body</t>
  </si>
  <si>
    <t>Front Subframe</t>
  </si>
  <si>
    <t>Rear Subframe</t>
  </si>
  <si>
    <t>Underbody Crossmembers</t>
  </si>
  <si>
    <t>Front Crash Beam</t>
  </si>
  <si>
    <t>Rear Crash Beam</t>
  </si>
  <si>
    <t>Left Front Door Assembly</t>
  </si>
  <si>
    <t>Right Front Door Assembly</t>
  </si>
  <si>
    <t>Left Rear Door Assembly</t>
  </si>
  <si>
    <t>Right Rear Door Assembly</t>
  </si>
  <si>
    <t>Hood Panel</t>
  </si>
  <si>
    <t>Trunk Lid / Liftgate</t>
  </si>
  <si>
    <t>Roof Panel</t>
  </si>
  <si>
    <t>Fender Set</t>
  </si>
  <si>
    <t>Structural Adhesive</t>
  </si>
  <si>
    <t>Body Fastener Set</t>
  </si>
  <si>
    <t>Thermal Management System</t>
  </si>
  <si>
    <t>Thermal System</t>
  </si>
  <si>
    <t>Coolant Pump</t>
  </si>
  <si>
    <t>Radiator</t>
  </si>
  <si>
    <t>Heat Exchanger</t>
  </si>
  <si>
    <t>Battery Chiller</t>
  </si>
  <si>
    <t>Coolant Reservoir</t>
  </si>
  <si>
    <t>Coolant Hose Set</t>
  </si>
  <si>
    <t>Coolant Valve Set</t>
  </si>
  <si>
    <t>HVAC Compressor</t>
  </si>
  <si>
    <t>Coolant Fluid</t>
  </si>
  <si>
    <t>liters</t>
  </si>
  <si>
    <t>Suspension, Brakes, and Wheels</t>
  </si>
  <si>
    <t>Chassis</t>
  </si>
  <si>
    <t>Suspension / Brakes</t>
  </si>
  <si>
    <t>Front Control Arms</t>
  </si>
  <si>
    <t>Suspension</t>
  </si>
  <si>
    <t>Rear Control Arms</t>
  </si>
  <si>
    <t>Shock Absorbers / Dampers</t>
  </si>
  <si>
    <t>Springs</t>
  </si>
  <si>
    <t>Stabilizer Bar Set</t>
  </si>
  <si>
    <t>Brake Calipers</t>
  </si>
  <si>
    <t>Brakes</t>
  </si>
  <si>
    <t>Brake Rotors</t>
  </si>
  <si>
    <t>Tires and Wheel Assemblies</t>
  </si>
  <si>
    <t>Wheels</t>
  </si>
  <si>
    <t>Description</t>
  </si>
  <si>
    <t>Criticality</t>
  </si>
  <si>
    <t>Current Inventory</t>
  </si>
  <si>
    <t>Completed electric vehicle produced through final assembly, inspection, and release.</t>
  </si>
  <si>
    <t>Main high-voltage energy storage system that powers the electric drivetrain and vehicle electronics.</t>
  </si>
  <si>
    <t>Lower structural housing that protects and supports the battery pack components.</t>
  </si>
  <si>
    <t>Upper protective cover that seals the battery pack and protects internal modules.</t>
  </si>
  <si>
    <t>Grouped battery cell assemblies used to organize, cool, and electrically connect the pack.</t>
  </si>
  <si>
    <t>Individual rechargeable cells that store electrical energy for vehicle propulsion.</t>
  </si>
  <si>
    <t>Plastic or composite spacers that position cells and maintain separation inside each module.</t>
  </si>
  <si>
    <t>Structural side supports that hold the battery module together and protect cell groups.</t>
  </si>
  <si>
    <t>End support plates that close and reinforce each battery module structure.</t>
  </si>
  <si>
    <t>Conductive plates that electrically connect groups of battery cells within the module.</t>
  </si>
  <si>
    <t>Conductive tabs used to connect individual cells to the module electrical circuit.</t>
  </si>
  <si>
    <t>Copper conductors that carry high current between cells, modules, and pack circuits.</t>
  </si>
  <si>
    <t>Lightweight conductors used for electrical connection where lower weight is preferred.</t>
  </si>
  <si>
    <t>Thermal material placed between cells and cooling surfaces to transfer heat efficiently.</t>
  </si>
  <si>
    <t>Protective insulation layers that prevent electrical contact and improve pack safety.</t>
  </si>
  <si>
    <t>Adhesive used to secure battery cells and improve vibration resistance inside the module.</t>
  </si>
  <si>
    <t>Main control board that monitors battery voltage, temperature, safety, and performance.</t>
  </si>
  <si>
    <t>Secondary battery monitoring boards that collect cell-level data from individual modules.</t>
  </si>
  <si>
    <t>Wiring harness that connects voltage monitoring points to the battery management system.</t>
  </si>
  <si>
    <t>Sensors that monitor battery cell and module temperatures during operation and charging.</t>
  </si>
  <si>
    <t>Sensor that measures current flow into and out of the battery pack.</t>
  </si>
  <si>
    <t>High-voltage switches that connect or disconnect battery power from the vehicle system.</t>
  </si>
  <si>
    <t>Electrical resistor used to safely manage voltage before full high-voltage connection.</t>
  </si>
  <si>
    <t>Protective fuse that disconnects the battery circuit during dangerous current conditions.</t>
  </si>
  <si>
    <t>Manual or service-access safety component used to isolate the battery pack.</t>
  </si>
  <si>
    <t>Cooling plates that remove heat from battery modules during charging and driving.</t>
  </si>
  <si>
    <t>Coolant distribution component that routes fluid through the battery cooling circuit.</t>
  </si>
  <si>
    <t>Tubes that carry coolant through the battery pack thermal management system.</t>
  </si>
  <si>
    <t>Sealing gasket that prevents water, dust, and debris from entering the battery pack.</t>
  </si>
  <si>
    <t>Bolts, screws, washers, and related hardware used to secure battery pack components.</t>
  </si>
  <si>
    <t>Labels used for barcode scanning, traceability, serial control, and production tracking.</t>
  </si>
  <si>
    <t>Integrated propulsion assembly that converts battery power into vehicle movement.</t>
  </si>
  <si>
    <t>Main motor assembly that converts electrical energy into mechanical rotation.</t>
  </si>
  <si>
    <t>Stationary magnetic core of the electric motor that helps create rotational force.</t>
  </si>
  <si>
    <t>Rotating motor component that turns inside the stator to produce mechanical output.</t>
  </si>
  <si>
    <t>Copper wire set used inside the motor to create electromagnetic fields.</t>
  </si>
  <si>
    <t>Magnetic material used in the motor to improve torque and power output.</t>
  </si>
  <si>
    <t>Protective housing that contains and supports the motor’s internal components.</t>
  </si>
  <si>
    <t>Bearings that support smooth rotation of the motor shaft.</t>
  </si>
  <si>
    <t>Rotating shaft that transfers motor torque into the drivetrain.</t>
  </si>
  <si>
    <t>Sensor that detects motor position and helps control speed and torque output.</t>
  </si>
  <si>
    <t>Power electronics unit that converts battery DC power into AC power for the motor.</t>
  </si>
  <si>
    <t>High-power switching module that controls electrical energy flow to the motor.</t>
  </si>
  <si>
    <t>Circuit board that controls inverter switching, safety logic, and motor commands.</t>
  </si>
  <si>
    <t>Capacitor that stabilizes voltage inside the inverter power circuit.</t>
  </si>
  <si>
    <t>Cooling plate that removes heat from inverter power electronics.</t>
  </si>
  <si>
    <t>Protective housing that contains inverter electronics and thermal components.</t>
  </si>
  <si>
    <t>Gear reduction unit that transfers motor output to the wheels at usable speed and torque.</t>
  </si>
  <si>
    <t>Set of gears used to reduce speed and multiply torque from the electric motor.</t>
  </si>
  <si>
    <t>Gear assembly that distributes torque to the drive wheels.</t>
  </si>
  <si>
    <t>Bearings used to support rotating gears and shafts inside the gearbox.</t>
  </si>
  <si>
    <t>Lubricating fluid used to reduce friction and wear inside the gearbox.</t>
  </si>
  <si>
    <t>Brackets used to attach the drive unit securely to the vehicle structure.</t>
  </si>
  <si>
    <t>Hardware set used to fasten the motor, inverter, gearbox, and mounting components.</t>
  </si>
  <si>
    <t>Electrical system that manages charging, voltage conversion, and high-voltage distribution.</t>
  </si>
  <si>
    <t>Component that converts external AC charging power into DC power for the battery.</t>
  </si>
  <si>
    <t>Converter that steps high-voltage battery power down to low-voltage vehicle power.</t>
  </si>
  <si>
    <t>Vehicle charging inlet assembly where external charging equipment connects.</t>
  </si>
  <si>
    <t>Small actuator that opens and closes the charge port door.</t>
  </si>
  <si>
    <t>Electrical distribution box that routes high-voltage power to major vehicle systems.</t>
  </si>
  <si>
    <t>High-voltage cables that carry power between the battery, inverter, charger, and junction box.</t>
  </si>
  <si>
    <t>Low-voltage battery used to support auxiliary systems and control electronics.</t>
  </si>
  <si>
    <t>Fuse box that protects low-voltage circuits from electrical overload.</t>
  </si>
  <si>
    <t>Relay group used to control electrical circuits and power distribution.</t>
  </si>
  <si>
    <t>Vehicle wiring and electronic control network that connects sensors, modules, and systems.</t>
  </si>
  <si>
    <t>Main wiring harness that routes electrical signals and power across the vehicle body.</t>
  </si>
  <si>
    <t>Wiring harness that supports front-end lighting, sensors, and electronic components.</t>
  </si>
  <si>
    <t>Wiring harness that supports rear lighting, sensors, and rear vehicle electronics.</t>
  </si>
  <si>
    <t>Wiring harnesses that connect door locks, windows, speakers, and door sensors.</t>
  </si>
  <si>
    <t>Wiring set that connects battery sensors, safety circuits, and high-voltage controls.</t>
  </si>
  <si>
    <t>Main controller that coordinates core vehicle functions and system communication.</t>
  </si>
  <si>
    <t>Electronic module that controls body functions such as lighting, locks, and windows.</t>
  </si>
  <si>
    <t>Central communication controller that manages data exchange between vehicle systems.</t>
  </si>
  <si>
    <t>Connector set used to link sensors to wiring harnesses and control modules.</t>
  </si>
  <si>
    <t>Clips and retainers used to secure wiring harnesses to the body structure.</t>
  </si>
  <si>
    <t>Main structural body system that supports the vehicle, passengers, and major assemblies.</t>
  </si>
  <si>
    <t>Front structural frame section that supports suspension, crash structure, and front components.</t>
  </si>
  <si>
    <t>Rear structural frame section that supports suspension, drivetrain, and rear components.</t>
  </si>
  <si>
    <t>Structural members mounted beneath the vehicle to increase stiffness and support loads.</t>
  </si>
  <si>
    <t>Front impact structure designed to absorb crash energy and protect occupants.</t>
  </si>
  <si>
    <t>Rear impact structure designed to absorb crash energy and protect rear vehicle systems.</t>
  </si>
  <si>
    <t>Complete left front door assembly including structure, trim mounting points, and hardware.</t>
  </si>
  <si>
    <t>Complete right front door assembly including structure, trim mounting points, and hardware.</t>
  </si>
  <si>
    <t>Complete left rear door assembly including structure, trim mounting points, and hardware.</t>
  </si>
  <si>
    <t>Complete right rear door assembly including structure, trim mounting points, and hardware.</t>
  </si>
  <si>
    <t>Exterior front body panel that covers the front storage or equipment area.</t>
  </si>
  <si>
    <t>Rear access panel used for cargo access and rear body closure.</t>
  </si>
  <si>
    <t>Upper body panel that forms the vehicle roof structure and exterior surface.</t>
  </si>
  <si>
    <t>Set of exterior wheel-area panels that protect and shape the body sides.</t>
  </si>
  <si>
    <t>Bonding material used to attach body panels and improve structural stiffness.</t>
  </si>
  <si>
    <t>Fasteners used throughout the body structure, panels, brackets, and mounting points.</t>
  </si>
  <si>
    <t>System that manages heat for the battery, motor, inverter, cabin, and electronics.</t>
  </si>
  <si>
    <t>Pump that circulates coolant through the vehicle thermal management circuits.</t>
  </si>
  <si>
    <t>Heat rejection component that transfers heat from coolant to outside air.</t>
  </si>
  <si>
    <t>Component that transfers heat between different vehicle thermal circuits.</t>
  </si>
  <si>
    <t>Cooling component that helps control battery temperature during charging and operation.</t>
  </si>
  <si>
    <t>Tank that stores extra coolant and allows expansion in the thermal system.</t>
  </si>
  <si>
    <t>Hose set that routes coolant between pumps, radiator, battery, inverter, and heat exchanger.</t>
  </si>
  <si>
    <t>Valve set that controls coolant flow direction between thermal circuits.</t>
  </si>
  <si>
    <t>Electric compressor used for cabin cooling and thermal management functions.</t>
  </si>
  <si>
    <t>Fluid used to transfer heat through the battery, power electronics, and thermal system.</t>
  </si>
  <si>
    <t>Vehicle system that supports ride control, braking, steering stability, and wheel movement.</t>
  </si>
  <si>
    <t>Front suspension arms that connect wheel assemblies to the front structure.</t>
  </si>
  <si>
    <t>Rear suspension arms that connect wheel assemblies to the rear structure.</t>
  </si>
  <si>
    <t>Dampers that control wheel movement, vibration, and ride comfort.</t>
  </si>
  <si>
    <t>Suspension springs that support vehicle weight and absorb road impacts.</t>
  </si>
  <si>
    <t>Stabilizer bars that reduce body roll during turning and improve handling.</t>
  </si>
  <si>
    <t>Brake components that clamp brake pads against rotors to slow the vehicle.</t>
  </si>
  <si>
    <t>Rotating brake discs that create friction with brake pads to slow the wheels.</t>
  </si>
  <si>
    <t>Complete tire and wheel assemblies that support vehicle movement and road contact.</t>
  </si>
  <si>
    <t>Make</t>
  </si>
  <si>
    <t>Buy</t>
  </si>
  <si>
    <t>Make or Buy</t>
  </si>
  <si>
    <t>Lead Time Estimate</t>
  </si>
  <si>
    <t>N/A</t>
  </si>
  <si>
    <t>8-12 weeks</t>
  </si>
  <si>
    <t>4-8 weeks</t>
  </si>
  <si>
    <t>6-10 weeks</t>
  </si>
  <si>
    <t>10-16 weeks</t>
  </si>
  <si>
    <t>3-6 weeks</t>
  </si>
  <si>
    <t>5-8 weeks</t>
  </si>
  <si>
    <t>2-5 weeks</t>
  </si>
  <si>
    <t>2-4 weeks</t>
  </si>
  <si>
    <t>8-14 weeks</t>
  </si>
  <si>
    <t>5-9 weeks</t>
  </si>
  <si>
    <t>5-10 weeks</t>
  </si>
  <si>
    <t>1-3 weeks</t>
  </si>
  <si>
    <t>1-2 weeks</t>
  </si>
  <si>
    <t>10-18 weeks</t>
  </si>
  <si>
    <t>Unit Cost Estimate</t>
  </si>
  <si>
    <t>Extended Cost</t>
  </si>
  <si>
    <t>Cost Rollup Type</t>
  </si>
  <si>
    <t>Rollup Cost</t>
  </si>
  <si>
    <t>Major Assembly</t>
  </si>
  <si>
    <t>Assembly Stage</t>
  </si>
  <si>
    <t>Final Vehicle Release</t>
  </si>
  <si>
    <t>Battery Pack Assembly</t>
  </si>
  <si>
    <t>Drive Unit Assembly</t>
  </si>
  <si>
    <t>Electrical Integration</t>
  </si>
  <si>
    <t>Wiring and Controls Integration</t>
  </si>
  <si>
    <t>Body Structure Assembly</t>
  </si>
  <si>
    <t>Thermal System Installation</t>
  </si>
  <si>
    <t>Chassis Installation</t>
  </si>
  <si>
    <t>Battery Pack Structural Assembly</t>
  </si>
  <si>
    <t>Battery Module Assembly</t>
  </si>
  <si>
    <t>Battery Controls Installation</t>
  </si>
  <si>
    <t>Battery Monitoring Installation</t>
  </si>
  <si>
    <t>Battery Safety Installation</t>
  </si>
  <si>
    <t>Battery Thermal Installation</t>
  </si>
  <si>
    <t>Battery Pack Sealing</t>
  </si>
  <si>
    <t>Battery Pack Final Assembly</t>
  </si>
  <si>
    <t>Battery Pack Traceability</t>
  </si>
  <si>
    <t>Motor Assembly</t>
  </si>
  <si>
    <t>Gearbox Assembly</t>
  </si>
  <si>
    <t>Drive Unit Installation</t>
  </si>
  <si>
    <t>Drive Unit Final Assembly</t>
  </si>
  <si>
    <t>Charging System Installation</t>
  </si>
  <si>
    <t>Power Electronics Installation</t>
  </si>
  <si>
    <t>High-Voltage Distribution</t>
  </si>
  <si>
    <t>Low-Voltage Electrical Installation</t>
  </si>
  <si>
    <t>Wiring Harness Installation</t>
  </si>
  <si>
    <t>Front Electrical Installation</t>
  </si>
  <si>
    <t>Rear Electrical Installation</t>
  </si>
  <si>
    <t>Door Electrical Installation</t>
  </si>
  <si>
    <t>Battery Wiring Installation</t>
  </si>
  <si>
    <t>Vehicle Controls Installation</t>
  </si>
  <si>
    <t>Vehicle Network Integration</t>
  </si>
  <si>
    <t>Sensor and Connector Installation</t>
  </si>
  <si>
    <t>Wiring Harness Final Routing</t>
  </si>
  <si>
    <t>Front Structure Assembly</t>
  </si>
  <si>
    <t>Rear Structure Assembly</t>
  </si>
  <si>
    <t>Underbody Structure Assembly</t>
  </si>
  <si>
    <t>Crash Structure Installation</t>
  </si>
  <si>
    <t>Door Assembly Installation</t>
  </si>
  <si>
    <t>Exterior Panel Installation</t>
  </si>
  <si>
    <t>Body Bonding and Joining</t>
  </si>
  <si>
    <t>Body Final Assembly</t>
  </si>
  <si>
    <t>Thermal Hose Routing</t>
  </si>
  <si>
    <t>Thermal Flow Control</t>
  </si>
  <si>
    <t>HVAC Installation</t>
  </si>
  <si>
    <t>Thermal System Filling</t>
  </si>
  <si>
    <t>Front Suspension Installation</t>
  </si>
  <si>
    <t>Rear Suspension Installation</t>
  </si>
  <si>
    <t>Suspension Installation</t>
  </si>
  <si>
    <t>Brake System Installation</t>
  </si>
  <si>
    <t>Wheel and Tire Installation</t>
  </si>
  <si>
    <t>Battery Cell Loading</t>
  </si>
  <si>
    <t>Battery Module Structural Assembly</t>
  </si>
  <si>
    <t>Battery Module Electrical Assembly</t>
  </si>
  <si>
    <t>Battery Module Thermal Assembly</t>
  </si>
  <si>
    <t>Battery Module Safety Insulation</t>
  </si>
  <si>
    <t>Battery Module Bonding</t>
  </si>
  <si>
    <t>Motor Core Assembly</t>
  </si>
  <si>
    <t>Motor Rotor Assembly</t>
  </si>
  <si>
    <t>Motor Winding Installation</t>
  </si>
  <si>
    <t>Motor Magnet Installation</t>
  </si>
  <si>
    <t>Motor Housing Assembly</t>
  </si>
  <si>
    <t>Motor Bearing Installation</t>
  </si>
  <si>
    <t>Motor Shaft Installation</t>
  </si>
  <si>
    <t>Motor Sensor Installation</t>
  </si>
  <si>
    <t>Inverter Power Electronics Assembly</t>
  </si>
  <si>
    <t>Inverter Controls Installation</t>
  </si>
  <si>
    <t>Inverter Electrical Assembly</t>
  </si>
  <si>
    <t>Inverter Thermal Assembly</t>
  </si>
  <si>
    <t>Inverter Final Assembly</t>
  </si>
  <si>
    <t>Gearbox Bearing Installation</t>
  </si>
  <si>
    <t>Gearbox Lubrication</t>
  </si>
  <si>
    <t>Critical</t>
  </si>
  <si>
    <t>High</t>
  </si>
  <si>
    <t>Medium</t>
  </si>
  <si>
    <t>Low</t>
  </si>
  <si>
    <t>Reorder Point</t>
  </si>
  <si>
    <t>Supplier ID</t>
  </si>
  <si>
    <t>Supplier Name</t>
  </si>
  <si>
    <t>Supplier Region</t>
  </si>
  <si>
    <t>Country</t>
  </si>
  <si>
    <t>Primary or Backup</t>
  </si>
  <si>
    <t>Backup Supplier</t>
  </si>
  <si>
    <t>Minimum Order Quantity</t>
  </si>
  <si>
    <t>Reliability Score</t>
  </si>
  <si>
    <t>Quality Risk</t>
  </si>
  <si>
    <t>Cost Risk</t>
  </si>
  <si>
    <t>Geopolitical Risk</t>
  </si>
  <si>
    <t>Substitution Difficulty</t>
  </si>
  <si>
    <t>Overall Supplier Risk</t>
  </si>
  <si>
    <t>Magna International</t>
  </si>
  <si>
    <t>Sensata Technologies</t>
  </si>
  <si>
    <t>Aptiv</t>
  </si>
  <si>
    <t>LEM</t>
  </si>
  <si>
    <t>TE Connectivity</t>
  </si>
  <si>
    <t>Vishay Intertechnology</t>
  </si>
  <si>
    <t>Littelfuse</t>
  </si>
  <si>
    <t>Dana Incorporated</t>
  </si>
  <si>
    <t>TI Fluid Systems</t>
  </si>
  <si>
    <t>Freudenberg Sealing Technologies</t>
  </si>
  <si>
    <t>Bossard Group</t>
  </si>
  <si>
    <t>Avery Dennison</t>
  </si>
  <si>
    <t>BorgWarner</t>
  </si>
  <si>
    <t>GKN Automotive</t>
  </si>
  <si>
    <t>Benteler Automotive</t>
  </si>
  <si>
    <t>Delta Electronics</t>
  </si>
  <si>
    <t>Clarios</t>
  </si>
  <si>
    <t>Yazaki Corporation</t>
  </si>
  <si>
    <t>Bosch</t>
  </si>
  <si>
    <t>Continental</t>
  </si>
  <si>
    <t>ITW Automotive</t>
  </si>
  <si>
    <t>Gestamp</t>
  </si>
  <si>
    <t>Henkel</t>
  </si>
  <si>
    <t>DENSO</t>
  </si>
  <si>
    <t>Valeo</t>
  </si>
  <si>
    <t>Hanon Systems</t>
  </si>
  <si>
    <t>MAHLE</t>
  </si>
  <si>
    <t>BASF</t>
  </si>
  <si>
    <t>ZF Friedrichshafen</t>
  </si>
  <si>
    <t>KYB Corporation</t>
  </si>
  <si>
    <t>Schaeffler</t>
  </si>
  <si>
    <t>Brembo</t>
  </si>
  <si>
    <t>Michelin</t>
  </si>
  <si>
    <t>Panasonic Energy</t>
  </si>
  <si>
    <t>Röchling Automotive</t>
  </si>
  <si>
    <t>Mersen</t>
  </si>
  <si>
    <t>Wieland Group</t>
  </si>
  <si>
    <t>3M</t>
  </si>
  <si>
    <t>DuPont</t>
  </si>
  <si>
    <t>VACUUMSCHMELZE</t>
  </si>
  <si>
    <t>Nemak</t>
  </si>
  <si>
    <t>SKF</t>
  </si>
  <si>
    <t>Infineon Technologies</t>
  </si>
  <si>
    <t>Jabil</t>
  </si>
  <si>
    <t>TDK Corporation</t>
  </si>
  <si>
    <t>Castrol</t>
  </si>
  <si>
    <t>Source Confidence</t>
  </si>
  <si>
    <t>SUP-MAG-001</t>
  </si>
  <si>
    <t>SUP-SEN-001</t>
  </si>
  <si>
    <t>SUP-APT-001</t>
  </si>
  <si>
    <t>SUP-LEM-001</t>
  </si>
  <si>
    <t>SUP-TE-001</t>
  </si>
  <si>
    <t>SUP-VSH-001</t>
  </si>
  <si>
    <t>SUP-LIT-001</t>
  </si>
  <si>
    <t>SUP-DAN-001</t>
  </si>
  <si>
    <t>SUP-TIF-001</t>
  </si>
  <si>
    <t>SUP-FST-001</t>
  </si>
  <si>
    <t>SUP-BOSD-001</t>
  </si>
  <si>
    <t>SUP-AVY-001</t>
  </si>
  <si>
    <t>SUP-BWG-001</t>
  </si>
  <si>
    <t>SUP-GKN-001</t>
  </si>
  <si>
    <t>SUP-BEN-001</t>
  </si>
  <si>
    <t>SUP-DLT-001</t>
  </si>
  <si>
    <t>SUP-CLA-001</t>
  </si>
  <si>
    <t>SUP-YAZ-001</t>
  </si>
  <si>
    <t>SUP-BSCH-001</t>
  </si>
  <si>
    <t>SUP-CON-001</t>
  </si>
  <si>
    <t>SUP-ITW-001</t>
  </si>
  <si>
    <t>SUP-GES-001</t>
  </si>
  <si>
    <t>SUP-HEN-001</t>
  </si>
  <si>
    <t>SUP-DEN-001</t>
  </si>
  <si>
    <t>SUP-VAL-001</t>
  </si>
  <si>
    <t>SUP-HAN-001</t>
  </si>
  <si>
    <t>SUP-MAH-001</t>
  </si>
  <si>
    <t>SUP-BASF-001</t>
  </si>
  <si>
    <t>SUP-ZF-001</t>
  </si>
  <si>
    <t>SUP-KYB-001</t>
  </si>
  <si>
    <t>SUP-SCH-001</t>
  </si>
  <si>
    <t>SUP-BRE-001</t>
  </si>
  <si>
    <t>SUP-MIC-001</t>
  </si>
  <si>
    <t>SUP-PAN-001</t>
  </si>
  <si>
    <t>SUP-ROC-001</t>
  </si>
  <si>
    <t>SUP-MER-001</t>
  </si>
  <si>
    <t>SUP-WIE-001</t>
  </si>
  <si>
    <t>SUP-3M-001</t>
  </si>
  <si>
    <t>SUP-DUP-001</t>
  </si>
  <si>
    <t>SUP-VAC-001</t>
  </si>
  <si>
    <t>SUP-NEM-001</t>
  </si>
  <si>
    <t>SUP-SKF-001</t>
  </si>
  <si>
    <t>SUP-INF-001</t>
  </si>
  <si>
    <t>SUP-JAB-001</t>
  </si>
  <si>
    <t>SUP-TDK-001</t>
  </si>
  <si>
    <t>SUP-CAS-001</t>
  </si>
  <si>
    <t>North America</t>
  </si>
  <si>
    <t>Europe</t>
  </si>
  <si>
    <t>Asia-Pacific</t>
  </si>
  <si>
    <t>Canada</t>
  </si>
  <si>
    <t>United States</t>
  </si>
  <si>
    <t>Ireland</t>
  </si>
  <si>
    <t>Switzerland</t>
  </si>
  <si>
    <t>United Kingdom</t>
  </si>
  <si>
    <t>Germany</t>
  </si>
  <si>
    <t>Taiwan</t>
  </si>
  <si>
    <t>Japan</t>
  </si>
  <si>
    <t>Spain</t>
  </si>
  <si>
    <t>France</t>
  </si>
  <si>
    <t>South Korea</t>
  </si>
  <si>
    <t>Italy</t>
  </si>
  <si>
    <t>Mexico</t>
  </si>
  <si>
    <t>Sweden</t>
  </si>
  <si>
    <t>Primary</t>
  </si>
  <si>
    <t>Bourns</t>
  </si>
  <si>
    <t>Eaton</t>
  </si>
  <si>
    <t>Hutchinson</t>
  </si>
  <si>
    <t>Würth Group</t>
  </si>
  <si>
    <t>Brady Corporation</t>
  </si>
  <si>
    <t>Exide Technologies</t>
  </si>
  <si>
    <t>Sumitomo Electric</t>
  </si>
  <si>
    <t>Bridgestone</t>
  </si>
  <si>
    <t>LG Energy Solution</t>
  </si>
  <si>
    <t>Aurubis</t>
  </si>
  <si>
    <t>Ryobi</t>
  </si>
  <si>
    <t>NTN Corporation</t>
  </si>
  <si>
    <t>Wolfspeed</t>
  </si>
  <si>
    <t>Flex</t>
  </si>
  <si>
    <t>Murata Manufacturing</t>
  </si>
  <si>
    <t>Shell</t>
  </si>
  <si>
    <t>Sourcing Strategy</t>
  </si>
  <si>
    <t>Backup Supplier Recommended</t>
  </si>
  <si>
    <t>Primary + Qualified Backup</t>
  </si>
  <si>
    <t>Single Source Acceptable</t>
  </si>
  <si>
    <t>Strategic Dual Source + Long-Term Contract</t>
  </si>
  <si>
    <t>Supplier Validation Required</t>
  </si>
  <si>
    <t>Planned Production Qty</t>
  </si>
  <si>
    <t>Required Qty</t>
  </si>
  <si>
    <t>Allocated Inventory</t>
  </si>
  <si>
    <t>Available Inventory</t>
  </si>
  <si>
    <t>Safety Stock</t>
  </si>
  <si>
    <t>Shortage Qty</t>
  </si>
  <si>
    <t>N</t>
  </si>
  <si>
    <t>Inventory Status</t>
  </si>
  <si>
    <t>Lot / Serial Tracking Required</t>
  </si>
  <si>
    <t>Yes - Serial</t>
  </si>
  <si>
    <t>Yes - Lot</t>
  </si>
  <si>
    <t>No</t>
  </si>
  <si>
    <t>Item Type</t>
  </si>
  <si>
    <t>Finished Good</t>
  </si>
  <si>
    <t>Summary Assembly</t>
  </si>
  <si>
    <t>Stocked Component</t>
  </si>
  <si>
    <t>Internal Subassembly</t>
  </si>
  <si>
    <t>Traceability Item</t>
  </si>
  <si>
    <t>Kit ID</t>
  </si>
  <si>
    <t>Work Order ID</t>
  </si>
  <si>
    <t>Vehicle Batch</t>
  </si>
  <si>
    <t>Picked Qty</t>
  </si>
  <si>
    <t>Missing Qty</t>
  </si>
  <si>
    <t>Kit Status</t>
  </si>
  <si>
    <t>Line Stopper?</t>
  </si>
  <si>
    <t>Responsible Owner</t>
  </si>
  <si>
    <t>Target Kit Release Date</t>
  </si>
  <si>
    <t>KIT-BAT-001</t>
  </si>
  <si>
    <t>KIT-DRV-001</t>
  </si>
  <si>
    <t>KIT-PWR-001</t>
  </si>
  <si>
    <t>KIT-WIR-001</t>
  </si>
  <si>
    <t>KIT-BDY-001</t>
  </si>
  <si>
    <t>KIT-THM-001</t>
  </si>
  <si>
    <t>KIT-SUS-001</t>
  </si>
  <si>
    <t>KIT-BAT-002</t>
  </si>
  <si>
    <t>KIT-DRV-002</t>
  </si>
  <si>
    <t>WO-EV-001</t>
  </si>
  <si>
    <t>EV-BATCH-001</t>
  </si>
  <si>
    <t>Yes</t>
  </si>
  <si>
    <t>Warehouse Team</t>
  </si>
  <si>
    <t>Buyer / Supplier Planner</t>
  </si>
  <si>
    <t>Warehouse / Supplier Planner</t>
  </si>
  <si>
    <t>Production Planner</t>
  </si>
  <si>
    <t>Quality + Supplier Planner</t>
  </si>
  <si>
    <t>Warehouse / Maintenance Planner</t>
  </si>
  <si>
    <t>Shortage ID</t>
  </si>
  <si>
    <t>Shortage Severity</t>
  </si>
  <si>
    <t>Root Cause</t>
  </si>
  <si>
    <t>Recovery Action</t>
  </si>
  <si>
    <t>Expected Recovery Date</t>
  </si>
  <si>
    <t>Escalation Status</t>
  </si>
  <si>
    <t>Production Impact</t>
  </si>
  <si>
    <t>SHRT-001</t>
  </si>
  <si>
    <t>SHRT-002</t>
  </si>
  <si>
    <t>SHRT-003</t>
  </si>
  <si>
    <t>SHRT-004</t>
  </si>
  <si>
    <t>SHRT-005</t>
  </si>
  <si>
    <t>SHRT-006</t>
  </si>
  <si>
    <t>SHRT-007</t>
  </si>
  <si>
    <t>SHRT-008</t>
  </si>
  <si>
    <t>SHRT-009</t>
  </si>
  <si>
    <t>SHRT-010</t>
  </si>
  <si>
    <t>SHRT-011</t>
  </si>
  <si>
    <t>SHRT-012</t>
  </si>
  <si>
    <t>SHRT-013</t>
  </si>
  <si>
    <t>SHRT-014</t>
  </si>
  <si>
    <t>SHRT-015</t>
  </si>
  <si>
    <t>SHRT-016</t>
  </si>
  <si>
    <t>SHRT-017</t>
  </si>
  <si>
    <t>Supplier delivery delay</t>
  </si>
  <si>
    <t>Expedite open PO and request partial shipment</t>
  </si>
  <si>
    <t>Escalated</t>
  </si>
  <si>
    <t>Battery monitoring installation at risk</t>
  </si>
  <si>
    <t>Limited supplier capacity</t>
  </si>
  <si>
    <t>Prioritize battery pack allocation and confirm backup source</t>
  </si>
  <si>
    <t>Battery thermal assembly at risk</t>
  </si>
  <si>
    <t>Inventory below build requirement</t>
  </si>
  <si>
    <t>Expedite replenishment and split shipment by production priority</t>
  </si>
  <si>
    <t>Battery thermal installation at risk</t>
  </si>
  <si>
    <t>Supplier shipment shortage</t>
  </si>
  <si>
    <t>Contact supplier for urgent replenishment or approved substitute</t>
  </si>
  <si>
    <t>Battery pack sealing cannot complete</t>
  </si>
  <si>
    <t>Internal subassembly shortage</t>
  </si>
  <si>
    <t>Prioritize internal build completion and release staged units</t>
  </si>
  <si>
    <t>Drive unit assembly at risk</t>
  </si>
  <si>
    <t>Minor supplier short shipment</t>
  </si>
  <si>
    <t>Pull one unit from backup stock or expedite replacement</t>
  </si>
  <si>
    <t>Open</t>
  </si>
  <si>
    <t>Charging system kit incomplete</t>
  </si>
  <si>
    <t>Safety-critical component shortage</t>
  </si>
  <si>
    <t>Escalate to supplier and quality team for approved release plan</t>
  </si>
  <si>
    <t>Body crash structure assembly at risk</t>
  </si>
  <si>
    <t>Consumable replenishment not completed</t>
  </si>
  <si>
    <t>Replenish coolant stock and confirm approved fluid spec</t>
  </si>
  <si>
    <t>Thermal system filling delayed</t>
  </si>
  <si>
    <t>Expedite delivery and review alternate supplier availability</t>
  </si>
  <si>
    <t>Suspension installation at risk</t>
  </si>
  <si>
    <t>Inventory shortage from high usage</t>
  </si>
  <si>
    <t>Expedite supplier shipment and prioritize battery module builds</t>
  </si>
  <si>
    <t>Battery module electrical assembly at risk</t>
  </si>
  <si>
    <t>Confirm supplier replenishment and approve split delivery</t>
  </si>
  <si>
    <t>Supplier short shipment</t>
  </si>
  <si>
    <t>Expedite insulation sheets and review substitute approval</t>
  </si>
  <si>
    <t>Battery module safety insulation delayed</t>
  </si>
  <si>
    <t>Minor inventory gap</t>
  </si>
  <si>
    <t>Expedite one replacement set or reallocate from backup stock</t>
  </si>
  <si>
    <t>Motor winding installation incomplete</t>
  </si>
  <si>
    <t>Supplier delay</t>
  </si>
  <si>
    <t>Expedite bearing shipment and confirm quality release</t>
  </si>
  <si>
    <t>Motor bearing installation at risk</t>
  </si>
  <si>
    <t>Electronics supplier delay</t>
  </si>
  <si>
    <t>Escalate supplier delivery and check alternate approved source</t>
  </si>
  <si>
    <t>Motor sensor installation at risk</t>
  </si>
  <si>
    <t>Supplier delivery shortage</t>
  </si>
  <si>
    <t>Expedite bearing shipment and prioritize gearbox build allocation</t>
  </si>
  <si>
    <t>Gearbox assembly at risk</t>
  </si>
  <si>
    <t>Consumable inventory gap</t>
  </si>
  <si>
    <t>Replenish lubricant stock before gearbox final assembly</t>
  </si>
  <si>
    <t>Gearbox final assembly delayed</t>
  </si>
  <si>
    <t>Lead Time Risk</t>
  </si>
  <si>
    <t>Inventory Risk</t>
  </si>
  <si>
    <t>Supplier Risk</t>
  </si>
  <si>
    <t>Line Stopper Risk</t>
  </si>
  <si>
    <t>Shortage Risk</t>
  </si>
  <si>
    <t>Total Risk Score</t>
  </si>
  <si>
    <t>Risk Category</t>
  </si>
  <si>
    <t>Recommended Mitigation</t>
  </si>
  <si>
    <t>Create recovery plan and monitor daily</t>
  </si>
  <si>
    <t>Escalate immediately, expedite supply, and review backup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</si>
</sst>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F443-DB58-8849-B2DF-9CF1FA0892BE}">
  <dimension ref="A1:P111"/>
  <sheetViews>
    <sheetView topLeftCell="M56" workbookViewId="0">
      <selection activeCell="J21" sqref="J21"/>
    </sheetView>
  </sheetViews>
  <sheetFormatPr baseColWidth="10" defaultRowHeight="16" x14ac:dyDescent="0.2"/>
  <cols>
    <col min="1" max="1" width="9.83203125" bestFit="1" customWidth="1"/>
    <col min="2" max="2" width="20.6640625" bestFit="1" customWidth="1"/>
    <col min="3" max="3" width="33.33203125" bestFit="1" customWidth="1"/>
    <col min="4" max="4" width="82.6640625" bestFit="1" customWidth="1"/>
    <col min="5" max="5" width="13.5" bestFit="1" customWidth="1"/>
    <col min="6" max="6" width="8.6640625" bestFit="1" customWidth="1"/>
    <col min="7" max="7" width="15.6640625" bestFit="1" customWidth="1"/>
    <col min="9" max="9" width="17.5" bestFit="1" customWidth="1"/>
    <col min="10" max="10" width="16.83203125" bestFit="1" customWidth="1"/>
    <col min="11" max="13" width="16.83203125" customWidth="1"/>
    <col min="14" max="14" width="30.6640625" bestFit="1" customWidth="1"/>
    <col min="15" max="15" width="33.33203125" bestFit="1" customWidth="1"/>
    <col min="16" max="16" width="9.33203125" bestFit="1" customWidth="1"/>
  </cols>
  <sheetData>
    <row r="1" spans="1:16" x14ac:dyDescent="0.2">
      <c r="A1" s="9" t="s">
        <v>1</v>
      </c>
      <c r="B1" s="9" t="s">
        <v>2</v>
      </c>
      <c r="C1" s="9" t="s">
        <v>3</v>
      </c>
      <c r="D1" s="9" t="s">
        <v>161</v>
      </c>
      <c r="E1" s="9" t="s">
        <v>4</v>
      </c>
      <c r="F1" s="9" t="s">
        <v>5</v>
      </c>
      <c r="G1" s="9" t="s">
        <v>6</v>
      </c>
      <c r="H1" s="9" t="s">
        <v>276</v>
      </c>
      <c r="I1" s="9" t="s">
        <v>277</v>
      </c>
      <c r="J1" s="9" t="s">
        <v>293</v>
      </c>
      <c r="K1" s="9" t="s">
        <v>294</v>
      </c>
      <c r="L1" s="9" t="s">
        <v>295</v>
      </c>
      <c r="M1" s="9" t="s">
        <v>296</v>
      </c>
      <c r="N1" s="9" t="s">
        <v>298</v>
      </c>
      <c r="O1" s="9" t="s">
        <v>297</v>
      </c>
      <c r="P1" s="9" t="s">
        <v>162</v>
      </c>
    </row>
    <row r="2" spans="1:16" x14ac:dyDescent="0.2">
      <c r="A2" s="5">
        <v>0</v>
      </c>
      <c r="B2" s="5" t="s">
        <v>7</v>
      </c>
      <c r="C2" s="5" t="s">
        <v>8</v>
      </c>
      <c r="D2" s="5" t="s">
        <v>164</v>
      </c>
      <c r="E2" s="5">
        <v>1</v>
      </c>
      <c r="F2" s="5" t="s">
        <v>9</v>
      </c>
      <c r="G2" s="5" t="s">
        <v>10</v>
      </c>
      <c r="H2" s="5" t="s">
        <v>274</v>
      </c>
      <c r="I2" s="5" t="s">
        <v>278</v>
      </c>
      <c r="J2" s="6">
        <v>38000</v>
      </c>
      <c r="K2" s="6">
        <f>E2*J2</f>
        <v>38000</v>
      </c>
      <c r="L2" s="6" t="str">
        <f>IF(COUNTIFS(B:B,C2,A:A,A2+1)&gt;0,"Summary","Costed Item")</f>
        <v>Costed Item</v>
      </c>
      <c r="M2" s="6">
        <f>IF(L2="Costed M17Item",K2,0)</f>
        <v>0</v>
      </c>
      <c r="N2" s="5" t="s">
        <v>299</v>
      </c>
      <c r="O2" s="5" t="s">
        <v>7</v>
      </c>
      <c r="P2" s="5" t="s">
        <v>371</v>
      </c>
    </row>
    <row r="3" spans="1:16" x14ac:dyDescent="0.2">
      <c r="A3" s="5">
        <v>1</v>
      </c>
      <c r="B3" s="5" t="s">
        <v>7</v>
      </c>
      <c r="C3" s="5" t="s">
        <v>11</v>
      </c>
      <c r="D3" s="5" t="s">
        <v>165</v>
      </c>
      <c r="E3" s="5">
        <v>1</v>
      </c>
      <c r="F3" s="5" t="s">
        <v>12</v>
      </c>
      <c r="G3" s="5" t="s">
        <v>13</v>
      </c>
      <c r="H3" s="5" t="s">
        <v>274</v>
      </c>
      <c r="I3" s="5" t="s">
        <v>279</v>
      </c>
      <c r="J3" s="6">
        <v>7500</v>
      </c>
      <c r="K3" s="6">
        <f t="shared" ref="K3:K66" si="0">E3*J3</f>
        <v>7500</v>
      </c>
      <c r="L3" s="6" t="str">
        <f t="shared" ref="L3:L66" si="1">IF(A3&lt;=1,"Summary","Costed Item")</f>
        <v>Summary</v>
      </c>
      <c r="M3" s="6">
        <f t="shared" ref="M3:M66" si="2">IF(L3="Costed Item",K3,0)</f>
        <v>0</v>
      </c>
      <c r="N3" s="5" t="s">
        <v>300</v>
      </c>
      <c r="O3" s="5" t="s">
        <v>14</v>
      </c>
      <c r="P3" s="5" t="s">
        <v>371</v>
      </c>
    </row>
    <row r="4" spans="1:16" x14ac:dyDescent="0.2">
      <c r="A4" s="5">
        <v>1</v>
      </c>
      <c r="B4" s="5" t="s">
        <v>7</v>
      </c>
      <c r="C4" s="5" t="s">
        <v>64</v>
      </c>
      <c r="D4" s="5" t="s">
        <v>195</v>
      </c>
      <c r="E4" s="5">
        <v>1</v>
      </c>
      <c r="F4" s="5" t="s">
        <v>12</v>
      </c>
      <c r="G4" s="5" t="s">
        <v>65</v>
      </c>
      <c r="H4" s="5" t="s">
        <v>274</v>
      </c>
      <c r="I4" s="5" t="s">
        <v>279</v>
      </c>
      <c r="J4" s="6">
        <v>2800</v>
      </c>
      <c r="K4" s="6">
        <f t="shared" si="0"/>
        <v>2800</v>
      </c>
      <c r="L4" s="6" t="str">
        <f t="shared" si="1"/>
        <v>Summary</v>
      </c>
      <c r="M4" s="6">
        <f t="shared" si="2"/>
        <v>0</v>
      </c>
      <c r="N4" s="5" t="s">
        <v>301</v>
      </c>
      <c r="O4" s="5" t="s">
        <v>64</v>
      </c>
      <c r="P4" s="5" t="s">
        <v>371</v>
      </c>
    </row>
    <row r="5" spans="1:16" x14ac:dyDescent="0.2">
      <c r="A5" s="5">
        <v>1</v>
      </c>
      <c r="B5" s="5" t="s">
        <v>7</v>
      </c>
      <c r="C5" s="5" t="s">
        <v>93</v>
      </c>
      <c r="D5" s="5" t="s">
        <v>218</v>
      </c>
      <c r="E5" s="5">
        <v>1</v>
      </c>
      <c r="F5" s="5" t="s">
        <v>12</v>
      </c>
      <c r="G5" s="5" t="s">
        <v>29</v>
      </c>
      <c r="H5" s="5" t="s">
        <v>274</v>
      </c>
      <c r="I5" s="5" t="s">
        <v>287</v>
      </c>
      <c r="J5" s="6">
        <v>1300</v>
      </c>
      <c r="K5" s="6">
        <f t="shared" si="0"/>
        <v>1300</v>
      </c>
      <c r="L5" s="6" t="str">
        <f t="shared" si="1"/>
        <v>Summary</v>
      </c>
      <c r="M5" s="6">
        <f t="shared" si="2"/>
        <v>0</v>
      </c>
      <c r="N5" s="5" t="s">
        <v>302</v>
      </c>
      <c r="O5" s="5" t="s">
        <v>93</v>
      </c>
      <c r="P5" s="5" t="s">
        <v>371</v>
      </c>
    </row>
    <row r="6" spans="1:16" x14ac:dyDescent="0.2">
      <c r="A6" s="5">
        <v>1</v>
      </c>
      <c r="B6" s="5" t="s">
        <v>7</v>
      </c>
      <c r="C6" s="5" t="s">
        <v>105</v>
      </c>
      <c r="D6" s="5" t="s">
        <v>228</v>
      </c>
      <c r="E6" s="5">
        <v>1</v>
      </c>
      <c r="F6" s="5" t="s">
        <v>12</v>
      </c>
      <c r="G6" s="5" t="s">
        <v>29</v>
      </c>
      <c r="H6" s="5" t="s">
        <v>274</v>
      </c>
      <c r="I6" s="5" t="s">
        <v>281</v>
      </c>
      <c r="J6" s="6">
        <v>1100</v>
      </c>
      <c r="K6" s="6">
        <f t="shared" si="0"/>
        <v>1100</v>
      </c>
      <c r="L6" s="6" t="str">
        <f t="shared" si="1"/>
        <v>Summary</v>
      </c>
      <c r="M6" s="6">
        <f t="shared" si="2"/>
        <v>0</v>
      </c>
      <c r="N6" s="5" t="s">
        <v>303</v>
      </c>
      <c r="O6" s="5" t="s">
        <v>105</v>
      </c>
      <c r="P6" s="5" t="s">
        <v>372</v>
      </c>
    </row>
    <row r="7" spans="1:16" x14ac:dyDescent="0.2">
      <c r="A7" s="5">
        <v>1</v>
      </c>
      <c r="B7" s="5" t="s">
        <v>7</v>
      </c>
      <c r="C7" s="5" t="s">
        <v>117</v>
      </c>
      <c r="D7" s="5" t="s">
        <v>239</v>
      </c>
      <c r="E7" s="5">
        <v>1</v>
      </c>
      <c r="F7" s="5" t="s">
        <v>12</v>
      </c>
      <c r="G7" s="5" t="s">
        <v>118</v>
      </c>
      <c r="H7" s="5" t="s">
        <v>274</v>
      </c>
      <c r="I7" s="5" t="s">
        <v>281</v>
      </c>
      <c r="J7" s="6">
        <v>3200</v>
      </c>
      <c r="K7" s="6">
        <f t="shared" si="0"/>
        <v>3200</v>
      </c>
      <c r="L7" s="6" t="str">
        <f t="shared" si="1"/>
        <v>Summary</v>
      </c>
      <c r="M7" s="6">
        <f t="shared" si="2"/>
        <v>0</v>
      </c>
      <c r="N7" s="5" t="s">
        <v>304</v>
      </c>
      <c r="O7" s="5" t="s">
        <v>117</v>
      </c>
      <c r="P7" s="5" t="s">
        <v>372</v>
      </c>
    </row>
    <row r="8" spans="1:16" x14ac:dyDescent="0.2">
      <c r="A8" s="5">
        <v>1</v>
      </c>
      <c r="B8" s="5" t="s">
        <v>7</v>
      </c>
      <c r="C8" s="5" t="s">
        <v>135</v>
      </c>
      <c r="D8" s="5" t="s">
        <v>255</v>
      </c>
      <c r="E8" s="5">
        <v>1</v>
      </c>
      <c r="F8" s="5" t="s">
        <v>12</v>
      </c>
      <c r="G8" s="5" t="s">
        <v>35</v>
      </c>
      <c r="H8" s="5" t="s">
        <v>274</v>
      </c>
      <c r="I8" s="5" t="s">
        <v>281</v>
      </c>
      <c r="J8" s="6">
        <v>950</v>
      </c>
      <c r="K8" s="6">
        <f t="shared" si="0"/>
        <v>950</v>
      </c>
      <c r="L8" s="6" t="str">
        <f t="shared" si="1"/>
        <v>Summary</v>
      </c>
      <c r="M8" s="6">
        <f t="shared" si="2"/>
        <v>0</v>
      </c>
      <c r="N8" s="5" t="s">
        <v>305</v>
      </c>
      <c r="O8" s="5" t="s">
        <v>135</v>
      </c>
      <c r="P8" s="5" t="s">
        <v>372</v>
      </c>
    </row>
    <row r="9" spans="1:16" x14ac:dyDescent="0.2">
      <c r="A9" s="5">
        <v>1</v>
      </c>
      <c r="B9" s="5" t="s">
        <v>7</v>
      </c>
      <c r="C9" s="5" t="s">
        <v>147</v>
      </c>
      <c r="D9" s="5" t="s">
        <v>265</v>
      </c>
      <c r="E9" s="5">
        <v>1</v>
      </c>
      <c r="F9" s="5" t="s">
        <v>12</v>
      </c>
      <c r="G9" s="5" t="s">
        <v>148</v>
      </c>
      <c r="H9" s="5" t="s">
        <v>274</v>
      </c>
      <c r="I9" s="5" t="s">
        <v>288</v>
      </c>
      <c r="J9" s="6">
        <v>1850</v>
      </c>
      <c r="K9" s="6">
        <f t="shared" si="0"/>
        <v>1850</v>
      </c>
      <c r="L9" s="6" t="str">
        <f t="shared" si="1"/>
        <v>Summary</v>
      </c>
      <c r="M9" s="6">
        <f t="shared" si="2"/>
        <v>0</v>
      </c>
      <c r="N9" s="5" t="s">
        <v>306</v>
      </c>
      <c r="O9" s="5" t="s">
        <v>147</v>
      </c>
      <c r="P9" s="5" t="s">
        <v>372</v>
      </c>
    </row>
    <row r="10" spans="1:16" x14ac:dyDescent="0.2">
      <c r="A10" s="5">
        <v>2</v>
      </c>
      <c r="B10" s="5" t="s">
        <v>14</v>
      </c>
      <c r="C10" s="5" t="s">
        <v>15</v>
      </c>
      <c r="D10" s="5" t="s">
        <v>166</v>
      </c>
      <c r="E10" s="5">
        <v>1</v>
      </c>
      <c r="F10" s="5" t="s">
        <v>16</v>
      </c>
      <c r="G10" s="5" t="s">
        <v>17</v>
      </c>
      <c r="H10" s="5" t="s">
        <v>275</v>
      </c>
      <c r="I10" s="5" t="s">
        <v>280</v>
      </c>
      <c r="J10" s="6">
        <v>650</v>
      </c>
      <c r="K10" s="6">
        <f t="shared" si="0"/>
        <v>650</v>
      </c>
      <c r="L10" s="6" t="str">
        <f t="shared" si="1"/>
        <v>Costed Item</v>
      </c>
      <c r="M10" s="6">
        <f t="shared" si="2"/>
        <v>650</v>
      </c>
      <c r="N10" s="5" t="s">
        <v>307</v>
      </c>
      <c r="O10" s="5" t="s">
        <v>14</v>
      </c>
      <c r="P10" s="5" t="s">
        <v>371</v>
      </c>
    </row>
    <row r="11" spans="1:16" x14ac:dyDescent="0.2">
      <c r="A11" s="5">
        <v>2</v>
      </c>
      <c r="B11" s="5" t="s">
        <v>14</v>
      </c>
      <c r="C11" s="5" t="s">
        <v>18</v>
      </c>
      <c r="D11" s="5" t="s">
        <v>167</v>
      </c>
      <c r="E11" s="5">
        <v>1</v>
      </c>
      <c r="F11" s="5" t="s">
        <v>16</v>
      </c>
      <c r="G11" s="5" t="s">
        <v>17</v>
      </c>
      <c r="H11" s="5" t="s">
        <v>275</v>
      </c>
      <c r="I11" s="5" t="s">
        <v>280</v>
      </c>
      <c r="J11" s="6">
        <v>450</v>
      </c>
      <c r="K11" s="6">
        <f t="shared" si="0"/>
        <v>450</v>
      </c>
      <c r="L11" s="6" t="str">
        <f t="shared" si="1"/>
        <v>Costed Item</v>
      </c>
      <c r="M11" s="6">
        <f t="shared" si="2"/>
        <v>450</v>
      </c>
      <c r="N11" s="5" t="s">
        <v>307</v>
      </c>
      <c r="O11" s="5" t="s">
        <v>14</v>
      </c>
      <c r="P11" s="5" t="s">
        <v>372</v>
      </c>
    </row>
    <row r="12" spans="1:16" x14ac:dyDescent="0.2">
      <c r="A12" s="5">
        <v>2</v>
      </c>
      <c r="B12" s="5" t="s">
        <v>14</v>
      </c>
      <c r="C12" s="5" t="s">
        <v>19</v>
      </c>
      <c r="D12" s="5" t="s">
        <v>168</v>
      </c>
      <c r="E12" s="5">
        <v>4</v>
      </c>
      <c r="F12" s="5" t="s">
        <v>20</v>
      </c>
      <c r="G12" s="5" t="s">
        <v>13</v>
      </c>
      <c r="H12" s="5" t="s">
        <v>274</v>
      </c>
      <c r="I12" s="5" t="s">
        <v>281</v>
      </c>
      <c r="J12" s="6">
        <v>1450</v>
      </c>
      <c r="K12" s="6">
        <f t="shared" si="0"/>
        <v>5800</v>
      </c>
      <c r="L12" s="6" t="str">
        <f t="shared" si="1"/>
        <v>Costed Item</v>
      </c>
      <c r="M12" s="6">
        <f t="shared" si="2"/>
        <v>5800</v>
      </c>
      <c r="N12" s="5" t="s">
        <v>308</v>
      </c>
      <c r="O12" s="5" t="s">
        <v>14</v>
      </c>
      <c r="P12" s="5" t="s">
        <v>371</v>
      </c>
    </row>
    <row r="13" spans="1:16" x14ac:dyDescent="0.2">
      <c r="A13" s="5">
        <v>2</v>
      </c>
      <c r="B13" s="5" t="s">
        <v>14</v>
      </c>
      <c r="C13" s="5" t="s">
        <v>42</v>
      </c>
      <c r="D13" s="5" t="s">
        <v>180</v>
      </c>
      <c r="E13" s="5">
        <v>1</v>
      </c>
      <c r="F13" s="5" t="s">
        <v>16</v>
      </c>
      <c r="G13" s="5" t="s">
        <v>0</v>
      </c>
      <c r="H13" s="5" t="s">
        <v>275</v>
      </c>
      <c r="I13" s="5" t="s">
        <v>287</v>
      </c>
      <c r="J13" s="6">
        <v>420</v>
      </c>
      <c r="K13" s="6">
        <f t="shared" si="0"/>
        <v>420</v>
      </c>
      <c r="L13" s="6" t="str">
        <f t="shared" si="1"/>
        <v>Costed Item</v>
      </c>
      <c r="M13" s="6">
        <f t="shared" si="2"/>
        <v>420</v>
      </c>
      <c r="N13" s="5" t="s">
        <v>309</v>
      </c>
      <c r="O13" s="5" t="s">
        <v>14</v>
      </c>
      <c r="P13" s="5" t="s">
        <v>371</v>
      </c>
    </row>
    <row r="14" spans="1:16" x14ac:dyDescent="0.2">
      <c r="A14" s="5">
        <v>2</v>
      </c>
      <c r="B14" s="5" t="s">
        <v>14</v>
      </c>
      <c r="C14" s="5" t="s">
        <v>43</v>
      </c>
      <c r="D14" s="5" t="s">
        <v>181</v>
      </c>
      <c r="E14" s="5">
        <v>4</v>
      </c>
      <c r="F14" s="5" t="s">
        <v>16</v>
      </c>
      <c r="G14" s="5" t="s">
        <v>0</v>
      </c>
      <c r="H14" s="5" t="s">
        <v>275</v>
      </c>
      <c r="I14" s="5" t="s">
        <v>287</v>
      </c>
      <c r="J14" s="6">
        <v>95</v>
      </c>
      <c r="K14" s="6">
        <f t="shared" si="0"/>
        <v>380</v>
      </c>
      <c r="L14" s="6" t="str">
        <f t="shared" si="1"/>
        <v>Costed Item</v>
      </c>
      <c r="M14" s="6">
        <f t="shared" si="2"/>
        <v>380</v>
      </c>
      <c r="N14" s="5" t="s">
        <v>309</v>
      </c>
      <c r="O14" s="5" t="s">
        <v>14</v>
      </c>
      <c r="P14" s="5" t="s">
        <v>371</v>
      </c>
    </row>
    <row r="15" spans="1:16" x14ac:dyDescent="0.2">
      <c r="A15" s="5">
        <v>2</v>
      </c>
      <c r="B15" s="5" t="s">
        <v>14</v>
      </c>
      <c r="C15" s="5" t="s">
        <v>44</v>
      </c>
      <c r="D15" s="5" t="s">
        <v>182</v>
      </c>
      <c r="E15" s="5">
        <v>1</v>
      </c>
      <c r="F15" s="5" t="s">
        <v>45</v>
      </c>
      <c r="G15" s="5" t="s">
        <v>29</v>
      </c>
      <c r="H15" s="5" t="s">
        <v>275</v>
      </c>
      <c r="I15" s="5" t="s">
        <v>288</v>
      </c>
      <c r="J15" s="6">
        <v>110</v>
      </c>
      <c r="K15" s="6">
        <f t="shared" si="0"/>
        <v>110</v>
      </c>
      <c r="L15" s="6" t="str">
        <f t="shared" si="1"/>
        <v>Costed Item</v>
      </c>
      <c r="M15" s="6">
        <f t="shared" si="2"/>
        <v>110</v>
      </c>
      <c r="N15" s="5" t="s">
        <v>309</v>
      </c>
      <c r="O15" s="5" t="s">
        <v>14</v>
      </c>
      <c r="P15" s="5" t="s">
        <v>371</v>
      </c>
    </row>
    <row r="16" spans="1:16" x14ac:dyDescent="0.2">
      <c r="A16" s="5">
        <v>2</v>
      </c>
      <c r="B16" s="5" t="s">
        <v>14</v>
      </c>
      <c r="C16" s="5" t="s">
        <v>46</v>
      </c>
      <c r="D16" s="5" t="s">
        <v>183</v>
      </c>
      <c r="E16" s="5">
        <v>16</v>
      </c>
      <c r="F16" s="5" t="s">
        <v>47</v>
      </c>
      <c r="G16" s="5" t="s">
        <v>0</v>
      </c>
      <c r="H16" s="5" t="s">
        <v>275</v>
      </c>
      <c r="I16" s="5" t="s">
        <v>281</v>
      </c>
      <c r="J16" s="6">
        <v>9</v>
      </c>
      <c r="K16" s="6">
        <f t="shared" si="0"/>
        <v>144</v>
      </c>
      <c r="L16" s="6" t="str">
        <f t="shared" si="1"/>
        <v>Costed Item</v>
      </c>
      <c r="M16" s="6">
        <f t="shared" si="2"/>
        <v>144</v>
      </c>
      <c r="N16" s="5" t="s">
        <v>310</v>
      </c>
      <c r="O16" s="5" t="s">
        <v>14</v>
      </c>
      <c r="P16" s="5" t="s">
        <v>371</v>
      </c>
    </row>
    <row r="17" spans="1:16" x14ac:dyDescent="0.2">
      <c r="A17" s="5">
        <v>2</v>
      </c>
      <c r="B17" s="5" t="s">
        <v>14</v>
      </c>
      <c r="C17" s="5" t="s">
        <v>48</v>
      </c>
      <c r="D17" s="5" t="s">
        <v>184</v>
      </c>
      <c r="E17" s="5">
        <v>1</v>
      </c>
      <c r="F17" s="5" t="s">
        <v>16</v>
      </c>
      <c r="G17" s="5" t="s">
        <v>0</v>
      </c>
      <c r="H17" s="5" t="s">
        <v>275</v>
      </c>
      <c r="I17" s="5" t="s">
        <v>281</v>
      </c>
      <c r="J17" s="6">
        <v>55</v>
      </c>
      <c r="K17" s="6">
        <f t="shared" si="0"/>
        <v>55</v>
      </c>
      <c r="L17" s="6" t="str">
        <f t="shared" si="1"/>
        <v>Costed Item</v>
      </c>
      <c r="M17" s="6">
        <f t="shared" si="2"/>
        <v>55</v>
      </c>
      <c r="N17" s="5" t="s">
        <v>310</v>
      </c>
      <c r="O17" s="5" t="s">
        <v>14</v>
      </c>
      <c r="P17" s="5" t="s">
        <v>371</v>
      </c>
    </row>
    <row r="18" spans="1:16" x14ac:dyDescent="0.2">
      <c r="A18" s="5">
        <v>2</v>
      </c>
      <c r="B18" s="5" t="s">
        <v>14</v>
      </c>
      <c r="C18" s="5" t="s">
        <v>49</v>
      </c>
      <c r="D18" s="5" t="s">
        <v>185</v>
      </c>
      <c r="E18" s="5">
        <v>2</v>
      </c>
      <c r="F18" s="5" t="s">
        <v>16</v>
      </c>
      <c r="G18" s="5" t="s">
        <v>29</v>
      </c>
      <c r="H18" s="5" t="s">
        <v>275</v>
      </c>
      <c r="I18" s="5" t="s">
        <v>287</v>
      </c>
      <c r="J18" s="6">
        <v>85</v>
      </c>
      <c r="K18" s="6">
        <f t="shared" si="0"/>
        <v>170</v>
      </c>
      <c r="L18" s="6" t="str">
        <f t="shared" si="1"/>
        <v>Costed Item</v>
      </c>
      <c r="M18" s="6">
        <f t="shared" si="2"/>
        <v>170</v>
      </c>
      <c r="N18" s="5" t="s">
        <v>311</v>
      </c>
      <c r="O18" s="5" t="s">
        <v>14</v>
      </c>
      <c r="P18" s="5" t="s">
        <v>371</v>
      </c>
    </row>
    <row r="19" spans="1:16" x14ac:dyDescent="0.2">
      <c r="A19" s="5">
        <v>2</v>
      </c>
      <c r="B19" s="5" t="s">
        <v>14</v>
      </c>
      <c r="C19" s="5" t="s">
        <v>50</v>
      </c>
      <c r="D19" s="5" t="s">
        <v>186</v>
      </c>
      <c r="E19" s="5">
        <v>1</v>
      </c>
      <c r="F19" s="5" t="s">
        <v>16</v>
      </c>
      <c r="G19" s="5" t="s">
        <v>29</v>
      </c>
      <c r="H19" s="5" t="s">
        <v>275</v>
      </c>
      <c r="I19" s="5" t="s">
        <v>280</v>
      </c>
      <c r="J19" s="6">
        <v>18</v>
      </c>
      <c r="K19" s="6">
        <f t="shared" si="0"/>
        <v>18</v>
      </c>
      <c r="L19" s="6" t="str">
        <f t="shared" si="1"/>
        <v>Costed Item</v>
      </c>
      <c r="M19" s="6">
        <f t="shared" si="2"/>
        <v>18</v>
      </c>
      <c r="N19" s="5" t="s">
        <v>311</v>
      </c>
      <c r="O19" s="5" t="s">
        <v>14</v>
      </c>
      <c r="P19" s="5" t="s">
        <v>371</v>
      </c>
    </row>
    <row r="20" spans="1:16" x14ac:dyDescent="0.2">
      <c r="A20" s="5">
        <v>2</v>
      </c>
      <c r="B20" s="5" t="s">
        <v>14</v>
      </c>
      <c r="C20" s="5" t="s">
        <v>51</v>
      </c>
      <c r="D20" s="5" t="s">
        <v>187</v>
      </c>
      <c r="E20" s="5">
        <v>1</v>
      </c>
      <c r="F20" s="5" t="s">
        <v>16</v>
      </c>
      <c r="G20" s="5" t="s">
        <v>29</v>
      </c>
      <c r="H20" s="5" t="s">
        <v>275</v>
      </c>
      <c r="I20" s="5" t="s">
        <v>289</v>
      </c>
      <c r="J20" s="6">
        <v>45</v>
      </c>
      <c r="K20" s="6">
        <f t="shared" si="0"/>
        <v>45</v>
      </c>
      <c r="L20" s="6" t="str">
        <f t="shared" si="1"/>
        <v>Costed Item</v>
      </c>
      <c r="M20" s="6">
        <f t="shared" si="2"/>
        <v>45</v>
      </c>
      <c r="N20" s="5" t="s">
        <v>311</v>
      </c>
      <c r="O20" s="5" t="s">
        <v>14</v>
      </c>
      <c r="P20" s="5" t="s">
        <v>371</v>
      </c>
    </row>
    <row r="21" spans="1:16" x14ac:dyDescent="0.2">
      <c r="A21" s="5">
        <v>2</v>
      </c>
      <c r="B21" s="5" t="s">
        <v>14</v>
      </c>
      <c r="C21" s="5" t="s">
        <v>52</v>
      </c>
      <c r="D21" s="5" t="s">
        <v>188</v>
      </c>
      <c r="E21" s="5">
        <v>1</v>
      </c>
      <c r="F21" s="5" t="s">
        <v>16</v>
      </c>
      <c r="G21" s="5" t="s">
        <v>38</v>
      </c>
      <c r="H21" s="5" t="s">
        <v>275</v>
      </c>
      <c r="I21" s="5" t="s">
        <v>280</v>
      </c>
      <c r="J21" s="6">
        <v>65</v>
      </c>
      <c r="K21" s="6">
        <f t="shared" si="0"/>
        <v>65</v>
      </c>
      <c r="L21" s="6" t="str">
        <f t="shared" si="1"/>
        <v>Costed Item</v>
      </c>
      <c r="M21" s="6">
        <f t="shared" si="2"/>
        <v>65</v>
      </c>
      <c r="N21" s="5" t="s">
        <v>311</v>
      </c>
      <c r="O21" s="5" t="s">
        <v>14</v>
      </c>
      <c r="P21" s="5" t="s">
        <v>371</v>
      </c>
    </row>
    <row r="22" spans="1:16" x14ac:dyDescent="0.2">
      <c r="A22" s="5">
        <v>2</v>
      </c>
      <c r="B22" s="5" t="s">
        <v>14</v>
      </c>
      <c r="C22" s="5" t="s">
        <v>53</v>
      </c>
      <c r="D22" s="5" t="s">
        <v>189</v>
      </c>
      <c r="E22" s="5">
        <v>4</v>
      </c>
      <c r="F22" s="5" t="s">
        <v>54</v>
      </c>
      <c r="G22" s="5" t="s">
        <v>35</v>
      </c>
      <c r="H22" s="5" t="s">
        <v>275</v>
      </c>
      <c r="I22" s="5" t="s">
        <v>288</v>
      </c>
      <c r="J22" s="6">
        <v>180</v>
      </c>
      <c r="K22" s="6">
        <f t="shared" si="0"/>
        <v>720</v>
      </c>
      <c r="L22" s="6" t="str">
        <f t="shared" si="1"/>
        <v>Costed Item</v>
      </c>
      <c r="M22" s="6">
        <f t="shared" si="2"/>
        <v>720</v>
      </c>
      <c r="N22" s="5" t="s">
        <v>312</v>
      </c>
      <c r="O22" s="5" t="s">
        <v>14</v>
      </c>
      <c r="P22" s="5" t="s">
        <v>371</v>
      </c>
    </row>
    <row r="23" spans="1:16" x14ac:dyDescent="0.2">
      <c r="A23" s="5">
        <v>2</v>
      </c>
      <c r="B23" s="5" t="s">
        <v>14</v>
      </c>
      <c r="C23" s="5" t="s">
        <v>55</v>
      </c>
      <c r="D23" s="5" t="s">
        <v>190</v>
      </c>
      <c r="E23" s="5">
        <v>1</v>
      </c>
      <c r="F23" s="5" t="s">
        <v>16</v>
      </c>
      <c r="G23" s="5" t="s">
        <v>35</v>
      </c>
      <c r="H23" s="5" t="s">
        <v>275</v>
      </c>
      <c r="I23" s="5" t="s">
        <v>280</v>
      </c>
      <c r="J23" s="6">
        <v>95</v>
      </c>
      <c r="K23" s="6">
        <f t="shared" si="0"/>
        <v>95</v>
      </c>
      <c r="L23" s="6" t="str">
        <f t="shared" si="1"/>
        <v>Costed Item</v>
      </c>
      <c r="M23" s="6">
        <f t="shared" si="2"/>
        <v>95</v>
      </c>
      <c r="N23" s="5" t="s">
        <v>312</v>
      </c>
      <c r="O23" s="5" t="s">
        <v>14</v>
      </c>
      <c r="P23" s="5" t="s">
        <v>372</v>
      </c>
    </row>
    <row r="24" spans="1:16" x14ac:dyDescent="0.2">
      <c r="A24" s="5">
        <v>2</v>
      </c>
      <c r="B24" s="5" t="s">
        <v>14</v>
      </c>
      <c r="C24" s="5" t="s">
        <v>56</v>
      </c>
      <c r="D24" s="5" t="s">
        <v>191</v>
      </c>
      <c r="E24" s="5">
        <v>8</v>
      </c>
      <c r="F24" s="5" t="s">
        <v>57</v>
      </c>
      <c r="G24" s="5" t="s">
        <v>35</v>
      </c>
      <c r="H24" s="5" t="s">
        <v>275</v>
      </c>
      <c r="I24" s="5" t="s">
        <v>283</v>
      </c>
      <c r="J24" s="6">
        <v>18</v>
      </c>
      <c r="K24" s="6">
        <f t="shared" si="0"/>
        <v>144</v>
      </c>
      <c r="L24" s="6" t="str">
        <f t="shared" si="1"/>
        <v>Costed Item</v>
      </c>
      <c r="M24" s="6">
        <f t="shared" si="2"/>
        <v>144</v>
      </c>
      <c r="N24" s="5" t="s">
        <v>312</v>
      </c>
      <c r="O24" s="5" t="s">
        <v>14</v>
      </c>
      <c r="P24" s="5" t="s">
        <v>372</v>
      </c>
    </row>
    <row r="25" spans="1:16" x14ac:dyDescent="0.2">
      <c r="A25" s="5">
        <v>2</v>
      </c>
      <c r="B25" s="5" t="s">
        <v>14</v>
      </c>
      <c r="C25" s="5" t="s">
        <v>58</v>
      </c>
      <c r="D25" s="5" t="s">
        <v>192</v>
      </c>
      <c r="E25" s="5">
        <v>1</v>
      </c>
      <c r="F25" s="5" t="s">
        <v>16</v>
      </c>
      <c r="G25" s="5" t="s">
        <v>59</v>
      </c>
      <c r="H25" s="5" t="s">
        <v>275</v>
      </c>
      <c r="I25" s="5" t="s">
        <v>285</v>
      </c>
      <c r="J25" s="6">
        <v>42</v>
      </c>
      <c r="K25" s="6">
        <f t="shared" si="0"/>
        <v>42</v>
      </c>
      <c r="L25" s="6" t="str">
        <f t="shared" si="1"/>
        <v>Costed Item</v>
      </c>
      <c r="M25" s="6">
        <f t="shared" si="2"/>
        <v>42</v>
      </c>
      <c r="N25" s="5" t="s">
        <v>313</v>
      </c>
      <c r="O25" s="5" t="s">
        <v>14</v>
      </c>
      <c r="P25" s="5" t="s">
        <v>372</v>
      </c>
    </row>
    <row r="26" spans="1:16" x14ac:dyDescent="0.2">
      <c r="A26" s="5">
        <v>2</v>
      </c>
      <c r="B26" s="5" t="s">
        <v>14</v>
      </c>
      <c r="C26" s="5" t="s">
        <v>60</v>
      </c>
      <c r="D26" s="5" t="s">
        <v>193</v>
      </c>
      <c r="E26" s="5">
        <v>1</v>
      </c>
      <c r="F26" s="5" t="s">
        <v>45</v>
      </c>
      <c r="G26" s="5" t="s">
        <v>61</v>
      </c>
      <c r="H26" s="5" t="s">
        <v>275</v>
      </c>
      <c r="I26" s="5" t="s">
        <v>290</v>
      </c>
      <c r="J26" s="6">
        <v>35</v>
      </c>
      <c r="K26" s="6">
        <f t="shared" si="0"/>
        <v>35</v>
      </c>
      <c r="L26" s="6" t="str">
        <f t="shared" si="1"/>
        <v>Costed Item</v>
      </c>
      <c r="M26" s="6">
        <f t="shared" si="2"/>
        <v>35</v>
      </c>
      <c r="N26" s="5" t="s">
        <v>314</v>
      </c>
      <c r="O26" s="5" t="s">
        <v>14</v>
      </c>
      <c r="P26" s="5" t="s">
        <v>373</v>
      </c>
    </row>
    <row r="27" spans="1:16" x14ac:dyDescent="0.2">
      <c r="A27" s="5">
        <v>2</v>
      </c>
      <c r="B27" s="5" t="s">
        <v>14</v>
      </c>
      <c r="C27" s="5" t="s">
        <v>62</v>
      </c>
      <c r="D27" s="5" t="s">
        <v>194</v>
      </c>
      <c r="E27" s="5">
        <v>1</v>
      </c>
      <c r="F27" s="5" t="s">
        <v>45</v>
      </c>
      <c r="G27" s="5" t="s">
        <v>63</v>
      </c>
      <c r="H27" s="5" t="s">
        <v>275</v>
      </c>
      <c r="I27" s="5" t="s">
        <v>291</v>
      </c>
      <c r="J27" s="6">
        <v>4</v>
      </c>
      <c r="K27" s="6">
        <f t="shared" si="0"/>
        <v>4</v>
      </c>
      <c r="L27" s="6" t="str">
        <f t="shared" si="1"/>
        <v>Costed Item</v>
      </c>
      <c r="M27" s="6">
        <f t="shared" si="2"/>
        <v>4</v>
      </c>
      <c r="N27" s="5" t="s">
        <v>315</v>
      </c>
      <c r="O27" s="5" t="s">
        <v>14</v>
      </c>
      <c r="P27" s="5" t="s">
        <v>374</v>
      </c>
    </row>
    <row r="28" spans="1:16" x14ac:dyDescent="0.2">
      <c r="A28" s="5">
        <v>2</v>
      </c>
      <c r="B28" s="5" t="s">
        <v>64</v>
      </c>
      <c r="C28" s="5" t="s">
        <v>66</v>
      </c>
      <c r="D28" s="5" t="s">
        <v>196</v>
      </c>
      <c r="E28" s="5">
        <v>1</v>
      </c>
      <c r="F28" s="5" t="s">
        <v>16</v>
      </c>
      <c r="G28" s="5" t="s">
        <v>65</v>
      </c>
      <c r="H28" s="5" t="s">
        <v>274</v>
      </c>
      <c r="I28" s="5" t="s">
        <v>279</v>
      </c>
      <c r="J28" s="6">
        <v>1600</v>
      </c>
      <c r="K28" s="6">
        <f t="shared" si="0"/>
        <v>1600</v>
      </c>
      <c r="L28" s="6" t="str">
        <f t="shared" si="1"/>
        <v>Costed Item</v>
      </c>
      <c r="M28" s="6">
        <f t="shared" si="2"/>
        <v>1600</v>
      </c>
      <c r="N28" s="5" t="s">
        <v>316</v>
      </c>
      <c r="O28" s="5" t="s">
        <v>64</v>
      </c>
      <c r="P28" s="5" t="s">
        <v>371</v>
      </c>
    </row>
    <row r="29" spans="1:16" x14ac:dyDescent="0.2">
      <c r="A29" s="5">
        <v>2</v>
      </c>
      <c r="B29" s="5" t="s">
        <v>64</v>
      </c>
      <c r="C29" s="5" t="s">
        <v>76</v>
      </c>
      <c r="D29" s="5" t="s">
        <v>205</v>
      </c>
      <c r="E29" s="5">
        <v>1</v>
      </c>
      <c r="F29" s="5" t="s">
        <v>16</v>
      </c>
      <c r="G29" s="5" t="s">
        <v>77</v>
      </c>
      <c r="H29" s="5" t="s">
        <v>275</v>
      </c>
      <c r="I29" s="5" t="s">
        <v>287</v>
      </c>
      <c r="J29" s="6">
        <v>650</v>
      </c>
      <c r="K29" s="6">
        <f t="shared" si="0"/>
        <v>650</v>
      </c>
      <c r="L29" s="6" t="str">
        <f t="shared" si="1"/>
        <v>Costed Item</v>
      </c>
      <c r="M29" s="6">
        <f t="shared" si="2"/>
        <v>650</v>
      </c>
      <c r="N29" s="5" t="s">
        <v>76</v>
      </c>
      <c r="O29" s="5" t="s">
        <v>64</v>
      </c>
      <c r="P29" s="5" t="s">
        <v>371</v>
      </c>
    </row>
    <row r="30" spans="1:16" x14ac:dyDescent="0.2">
      <c r="A30" s="5">
        <v>2</v>
      </c>
      <c r="B30" s="5" t="s">
        <v>64</v>
      </c>
      <c r="C30" s="5" t="s">
        <v>83</v>
      </c>
      <c r="D30" s="5" t="s">
        <v>211</v>
      </c>
      <c r="E30" s="5">
        <v>1</v>
      </c>
      <c r="F30" s="5" t="s">
        <v>16</v>
      </c>
      <c r="G30" s="5" t="s">
        <v>84</v>
      </c>
      <c r="H30" s="5" t="s">
        <v>275</v>
      </c>
      <c r="I30" s="5" t="s">
        <v>281</v>
      </c>
      <c r="J30" s="6">
        <v>480</v>
      </c>
      <c r="K30" s="6">
        <f t="shared" si="0"/>
        <v>480</v>
      </c>
      <c r="L30" s="6" t="str">
        <f t="shared" si="1"/>
        <v>Costed Item</v>
      </c>
      <c r="M30" s="6">
        <f t="shared" si="2"/>
        <v>480</v>
      </c>
      <c r="N30" s="5" t="s">
        <v>317</v>
      </c>
      <c r="O30" s="5" t="s">
        <v>64</v>
      </c>
      <c r="P30" s="5" t="s">
        <v>371</v>
      </c>
    </row>
    <row r="31" spans="1:16" x14ac:dyDescent="0.2">
      <c r="A31" s="5">
        <v>2</v>
      </c>
      <c r="B31" s="5" t="s">
        <v>64</v>
      </c>
      <c r="C31" s="5" t="s">
        <v>91</v>
      </c>
      <c r="D31" s="5" t="s">
        <v>216</v>
      </c>
      <c r="E31" s="5">
        <v>2</v>
      </c>
      <c r="F31" s="5" t="s">
        <v>16</v>
      </c>
      <c r="G31" s="5" t="s">
        <v>17</v>
      </c>
      <c r="H31" s="5" t="s">
        <v>275</v>
      </c>
      <c r="I31" s="5" t="s">
        <v>283</v>
      </c>
      <c r="J31" s="6">
        <v>45</v>
      </c>
      <c r="K31" s="6">
        <f t="shared" si="0"/>
        <v>90</v>
      </c>
      <c r="L31" s="6" t="str">
        <f>IF(A31&lt;=1,"Summary","Costed Item")</f>
        <v>Costed Item</v>
      </c>
      <c r="M31" s="6">
        <f t="shared" si="2"/>
        <v>90</v>
      </c>
      <c r="N31" s="5" t="s">
        <v>318</v>
      </c>
      <c r="O31" s="5" t="s">
        <v>64</v>
      </c>
      <c r="P31" s="5" t="s">
        <v>372</v>
      </c>
    </row>
    <row r="32" spans="1:16" x14ac:dyDescent="0.2">
      <c r="A32" s="5">
        <v>2</v>
      </c>
      <c r="B32" s="5" t="s">
        <v>64</v>
      </c>
      <c r="C32" s="5" t="s">
        <v>92</v>
      </c>
      <c r="D32" s="5" t="s">
        <v>217</v>
      </c>
      <c r="E32" s="5">
        <v>1</v>
      </c>
      <c r="F32" s="5" t="s">
        <v>45</v>
      </c>
      <c r="G32" s="5" t="s">
        <v>61</v>
      </c>
      <c r="H32" s="5" t="s">
        <v>275</v>
      </c>
      <c r="I32" s="5" t="s">
        <v>290</v>
      </c>
      <c r="J32" s="6">
        <v>22</v>
      </c>
      <c r="K32" s="6">
        <f t="shared" si="0"/>
        <v>22</v>
      </c>
      <c r="L32" s="6" t="str">
        <f t="shared" si="1"/>
        <v>Costed Item</v>
      </c>
      <c r="M32" s="6">
        <f t="shared" si="2"/>
        <v>22</v>
      </c>
      <c r="N32" s="5" t="s">
        <v>319</v>
      </c>
      <c r="O32" s="5" t="s">
        <v>64</v>
      </c>
      <c r="P32" s="5" t="s">
        <v>373</v>
      </c>
    </row>
    <row r="33" spans="1:16" x14ac:dyDescent="0.2">
      <c r="A33" s="5">
        <v>2</v>
      </c>
      <c r="B33" s="5" t="s">
        <v>94</v>
      </c>
      <c r="C33" s="5" t="s">
        <v>95</v>
      </c>
      <c r="D33" s="5" t="s">
        <v>219</v>
      </c>
      <c r="E33" s="5">
        <v>1</v>
      </c>
      <c r="F33" s="5" t="s">
        <v>16</v>
      </c>
      <c r="G33" s="5" t="s">
        <v>96</v>
      </c>
      <c r="H33" s="5" t="s">
        <v>275</v>
      </c>
      <c r="I33" s="5" t="s">
        <v>287</v>
      </c>
      <c r="J33" s="6">
        <v>480</v>
      </c>
      <c r="K33" s="6">
        <f t="shared" si="0"/>
        <v>480</v>
      </c>
      <c r="L33" s="6" t="str">
        <f t="shared" si="1"/>
        <v>Costed Item</v>
      </c>
      <c r="M33" s="6">
        <f t="shared" si="2"/>
        <v>480</v>
      </c>
      <c r="N33" s="5" t="s">
        <v>320</v>
      </c>
      <c r="O33" s="5" t="s">
        <v>93</v>
      </c>
      <c r="P33" s="5" t="s">
        <v>371</v>
      </c>
    </row>
    <row r="34" spans="1:16" x14ac:dyDescent="0.2">
      <c r="A34" s="5">
        <v>2</v>
      </c>
      <c r="B34" s="5" t="s">
        <v>94</v>
      </c>
      <c r="C34" s="5" t="s">
        <v>97</v>
      </c>
      <c r="D34" s="5" t="s">
        <v>220</v>
      </c>
      <c r="E34" s="5">
        <v>1</v>
      </c>
      <c r="F34" s="5" t="s">
        <v>16</v>
      </c>
      <c r="G34" s="5" t="s">
        <v>29</v>
      </c>
      <c r="H34" s="5" t="s">
        <v>275</v>
      </c>
      <c r="I34" s="5" t="s">
        <v>287</v>
      </c>
      <c r="J34" s="6">
        <v>320</v>
      </c>
      <c r="K34" s="6">
        <f t="shared" si="0"/>
        <v>320</v>
      </c>
      <c r="L34" s="6" t="str">
        <f t="shared" si="1"/>
        <v>Costed Item</v>
      </c>
      <c r="M34" s="6">
        <f t="shared" si="2"/>
        <v>320</v>
      </c>
      <c r="N34" s="5" t="s">
        <v>321</v>
      </c>
      <c r="O34" s="5" t="s">
        <v>93</v>
      </c>
      <c r="P34" s="5" t="s">
        <v>371</v>
      </c>
    </row>
    <row r="35" spans="1:16" x14ac:dyDescent="0.2">
      <c r="A35" s="5">
        <v>2</v>
      </c>
      <c r="B35" s="5" t="s">
        <v>94</v>
      </c>
      <c r="C35" s="5" t="s">
        <v>98</v>
      </c>
      <c r="D35" s="5" t="s">
        <v>221</v>
      </c>
      <c r="E35" s="5">
        <v>1</v>
      </c>
      <c r="F35" s="5" t="s">
        <v>16</v>
      </c>
      <c r="G35" s="5" t="s">
        <v>96</v>
      </c>
      <c r="H35" s="5" t="s">
        <v>275</v>
      </c>
      <c r="I35" s="5" t="s">
        <v>281</v>
      </c>
      <c r="J35" s="6">
        <v>160</v>
      </c>
      <c r="K35" s="6">
        <f t="shared" si="0"/>
        <v>160</v>
      </c>
      <c r="L35" s="6" t="str">
        <f t="shared" si="1"/>
        <v>Costed Item</v>
      </c>
      <c r="M35" s="6">
        <f t="shared" si="2"/>
        <v>160</v>
      </c>
      <c r="N35" s="5" t="s">
        <v>320</v>
      </c>
      <c r="O35" s="5" t="s">
        <v>93</v>
      </c>
      <c r="P35" s="5" t="s">
        <v>372</v>
      </c>
    </row>
    <row r="36" spans="1:16" x14ac:dyDescent="0.2">
      <c r="A36" s="5">
        <v>2</v>
      </c>
      <c r="B36" s="5" t="s">
        <v>94</v>
      </c>
      <c r="C36" s="5" t="s">
        <v>99</v>
      </c>
      <c r="D36" s="5" t="s">
        <v>222</v>
      </c>
      <c r="E36" s="5">
        <v>1</v>
      </c>
      <c r="F36" s="5" t="s">
        <v>16</v>
      </c>
      <c r="G36" s="5" t="s">
        <v>29</v>
      </c>
      <c r="H36" s="5" t="s">
        <v>275</v>
      </c>
      <c r="I36" s="5" t="s">
        <v>280</v>
      </c>
      <c r="J36" s="6">
        <v>35</v>
      </c>
      <c r="K36" s="6">
        <f t="shared" si="0"/>
        <v>35</v>
      </c>
      <c r="L36" s="6" t="str">
        <f t="shared" si="1"/>
        <v>Costed Item</v>
      </c>
      <c r="M36" s="6">
        <f t="shared" si="2"/>
        <v>35</v>
      </c>
      <c r="N36" s="5" t="s">
        <v>320</v>
      </c>
      <c r="O36" s="5" t="s">
        <v>93</v>
      </c>
      <c r="P36" s="5" t="s">
        <v>373</v>
      </c>
    </row>
    <row r="37" spans="1:16" x14ac:dyDescent="0.2">
      <c r="A37" s="5">
        <v>2</v>
      </c>
      <c r="B37" s="5" t="s">
        <v>94</v>
      </c>
      <c r="C37" s="5" t="s">
        <v>100</v>
      </c>
      <c r="D37" s="5" t="s">
        <v>223</v>
      </c>
      <c r="E37" s="5">
        <v>1</v>
      </c>
      <c r="F37" s="5" t="s">
        <v>16</v>
      </c>
      <c r="G37" s="5" t="s">
        <v>29</v>
      </c>
      <c r="H37" s="5" t="s">
        <v>275</v>
      </c>
      <c r="I37" s="5" t="s">
        <v>281</v>
      </c>
      <c r="J37" s="6">
        <v>220</v>
      </c>
      <c r="K37" s="6">
        <f t="shared" si="0"/>
        <v>220</v>
      </c>
      <c r="L37" s="6" t="str">
        <f t="shared" si="1"/>
        <v>Costed Item</v>
      </c>
      <c r="M37" s="6">
        <f t="shared" si="2"/>
        <v>220</v>
      </c>
      <c r="N37" s="5" t="s">
        <v>322</v>
      </c>
      <c r="O37" s="5" t="s">
        <v>93</v>
      </c>
      <c r="P37" s="5" t="s">
        <v>371</v>
      </c>
    </row>
    <row r="38" spans="1:16" x14ac:dyDescent="0.2">
      <c r="A38" s="5">
        <v>2</v>
      </c>
      <c r="B38" s="5" t="s">
        <v>94</v>
      </c>
      <c r="C38" s="5" t="s">
        <v>101</v>
      </c>
      <c r="D38" s="5" t="s">
        <v>224</v>
      </c>
      <c r="E38" s="5">
        <v>1</v>
      </c>
      <c r="F38" s="5" t="s">
        <v>45</v>
      </c>
      <c r="G38" s="5" t="s">
        <v>29</v>
      </c>
      <c r="H38" s="5" t="s">
        <v>275</v>
      </c>
      <c r="I38" s="5" t="s">
        <v>288</v>
      </c>
      <c r="J38" s="6">
        <v>140</v>
      </c>
      <c r="K38" s="6">
        <f t="shared" si="0"/>
        <v>140</v>
      </c>
      <c r="L38" s="6" t="str">
        <f t="shared" si="1"/>
        <v>Costed Item</v>
      </c>
      <c r="M38" s="6">
        <f t="shared" si="2"/>
        <v>140</v>
      </c>
      <c r="N38" s="5" t="s">
        <v>322</v>
      </c>
      <c r="O38" s="5" t="s">
        <v>93</v>
      </c>
      <c r="P38" s="5" t="s">
        <v>371</v>
      </c>
    </row>
    <row r="39" spans="1:16" x14ac:dyDescent="0.2">
      <c r="A39" s="5">
        <v>2</v>
      </c>
      <c r="B39" s="5" t="s">
        <v>94</v>
      </c>
      <c r="C39" s="5" t="s">
        <v>102</v>
      </c>
      <c r="D39" s="5" t="s">
        <v>225</v>
      </c>
      <c r="E39" s="5">
        <v>1</v>
      </c>
      <c r="F39" s="5" t="s">
        <v>16</v>
      </c>
      <c r="G39" s="5" t="s">
        <v>29</v>
      </c>
      <c r="H39" s="5" t="s">
        <v>275</v>
      </c>
      <c r="I39" s="5" t="s">
        <v>280</v>
      </c>
      <c r="J39" s="6">
        <v>85</v>
      </c>
      <c r="K39" s="6">
        <f t="shared" si="0"/>
        <v>85</v>
      </c>
      <c r="L39" s="6" t="str">
        <f t="shared" si="1"/>
        <v>Costed Item</v>
      </c>
      <c r="M39" s="6">
        <f t="shared" si="2"/>
        <v>85</v>
      </c>
      <c r="N39" s="5" t="s">
        <v>323</v>
      </c>
      <c r="O39" s="5" t="s">
        <v>93</v>
      </c>
      <c r="P39" s="5" t="s">
        <v>373</v>
      </c>
    </row>
    <row r="40" spans="1:16" x14ac:dyDescent="0.2">
      <c r="A40" s="5">
        <v>2</v>
      </c>
      <c r="B40" s="5" t="s">
        <v>94</v>
      </c>
      <c r="C40" s="5" t="s">
        <v>103</v>
      </c>
      <c r="D40" s="5" t="s">
        <v>226</v>
      </c>
      <c r="E40" s="5">
        <v>1</v>
      </c>
      <c r="F40" s="5" t="s">
        <v>16</v>
      </c>
      <c r="G40" s="5" t="s">
        <v>29</v>
      </c>
      <c r="H40" s="5" t="s">
        <v>275</v>
      </c>
      <c r="I40" s="5" t="s">
        <v>285</v>
      </c>
      <c r="J40" s="6">
        <v>75</v>
      </c>
      <c r="K40" s="6">
        <f t="shared" si="0"/>
        <v>75</v>
      </c>
      <c r="L40" s="6" t="str">
        <f t="shared" si="1"/>
        <v>Costed Item</v>
      </c>
      <c r="M40" s="6">
        <f t="shared" si="2"/>
        <v>75</v>
      </c>
      <c r="N40" s="5" t="s">
        <v>323</v>
      </c>
      <c r="O40" s="5" t="s">
        <v>93</v>
      </c>
      <c r="P40" s="5" t="s">
        <v>373</v>
      </c>
    </row>
    <row r="41" spans="1:16" x14ac:dyDescent="0.2">
      <c r="A41" s="5">
        <v>2</v>
      </c>
      <c r="B41" s="5" t="s">
        <v>94</v>
      </c>
      <c r="C41" s="5" t="s">
        <v>104</v>
      </c>
      <c r="D41" s="5" t="s">
        <v>227</v>
      </c>
      <c r="E41" s="5">
        <v>1</v>
      </c>
      <c r="F41" s="5" t="s">
        <v>45</v>
      </c>
      <c r="G41" s="5" t="s">
        <v>29</v>
      </c>
      <c r="H41" s="5" t="s">
        <v>275</v>
      </c>
      <c r="I41" s="5" t="s">
        <v>285</v>
      </c>
      <c r="J41" s="6">
        <v>28</v>
      </c>
      <c r="K41" s="6">
        <f t="shared" si="0"/>
        <v>28</v>
      </c>
      <c r="L41" s="6" t="str">
        <f t="shared" si="1"/>
        <v>Costed Item</v>
      </c>
      <c r="M41" s="6">
        <f t="shared" si="2"/>
        <v>28</v>
      </c>
      <c r="N41" s="5" t="s">
        <v>323</v>
      </c>
      <c r="O41" s="5" t="s">
        <v>93</v>
      </c>
      <c r="P41" s="5" t="s">
        <v>373</v>
      </c>
    </row>
    <row r="42" spans="1:16" x14ac:dyDescent="0.2">
      <c r="A42" s="5">
        <v>2</v>
      </c>
      <c r="B42" s="5" t="s">
        <v>106</v>
      </c>
      <c r="C42" s="5" t="s">
        <v>107</v>
      </c>
      <c r="D42" s="5" t="s">
        <v>229</v>
      </c>
      <c r="E42" s="5">
        <v>1</v>
      </c>
      <c r="F42" s="5" t="s">
        <v>16</v>
      </c>
      <c r="G42" s="5" t="s">
        <v>29</v>
      </c>
      <c r="H42" s="5" t="s">
        <v>275</v>
      </c>
      <c r="I42" s="5" t="s">
        <v>281</v>
      </c>
      <c r="J42" s="6">
        <v>420</v>
      </c>
      <c r="K42" s="6">
        <f t="shared" si="0"/>
        <v>420</v>
      </c>
      <c r="L42" s="6" t="str">
        <f t="shared" si="1"/>
        <v>Costed Item</v>
      </c>
      <c r="M42" s="6">
        <f t="shared" si="2"/>
        <v>420</v>
      </c>
      <c r="N42" s="5" t="s">
        <v>324</v>
      </c>
      <c r="O42" s="5" t="s">
        <v>105</v>
      </c>
      <c r="P42" s="5" t="s">
        <v>372</v>
      </c>
    </row>
    <row r="43" spans="1:16" x14ac:dyDescent="0.2">
      <c r="A43" s="5">
        <v>2</v>
      </c>
      <c r="B43" s="5" t="s">
        <v>106</v>
      </c>
      <c r="C43" s="5" t="s">
        <v>108</v>
      </c>
      <c r="D43" s="5" t="s">
        <v>230</v>
      </c>
      <c r="E43" s="5">
        <v>1</v>
      </c>
      <c r="F43" s="5" t="s">
        <v>16</v>
      </c>
      <c r="G43" s="5" t="s">
        <v>29</v>
      </c>
      <c r="H43" s="5" t="s">
        <v>275</v>
      </c>
      <c r="I43" s="5" t="s">
        <v>288</v>
      </c>
      <c r="J43" s="6">
        <v>160</v>
      </c>
      <c r="K43" s="6">
        <f t="shared" si="0"/>
        <v>160</v>
      </c>
      <c r="L43" s="6" t="str">
        <f t="shared" si="1"/>
        <v>Costed Item</v>
      </c>
      <c r="M43" s="6">
        <f t="shared" si="2"/>
        <v>160</v>
      </c>
      <c r="N43" s="5" t="s">
        <v>325</v>
      </c>
      <c r="O43" s="5" t="s">
        <v>105</v>
      </c>
      <c r="P43" s="5" t="s">
        <v>372</v>
      </c>
    </row>
    <row r="44" spans="1:16" x14ac:dyDescent="0.2">
      <c r="A44" s="5">
        <v>2</v>
      </c>
      <c r="B44" s="5" t="s">
        <v>106</v>
      </c>
      <c r="C44" s="5" t="s">
        <v>109</v>
      </c>
      <c r="D44" s="5" t="s">
        <v>231</v>
      </c>
      <c r="E44" s="5">
        <v>1</v>
      </c>
      <c r="F44" s="5" t="s">
        <v>16</v>
      </c>
      <c r="G44" s="5" t="s">
        <v>29</v>
      </c>
      <c r="H44" s="5" t="s">
        <v>275</v>
      </c>
      <c r="I44" s="5" t="s">
        <v>288</v>
      </c>
      <c r="J44" s="6">
        <v>145</v>
      </c>
      <c r="K44" s="6">
        <f t="shared" si="0"/>
        <v>145</v>
      </c>
      <c r="L44" s="6" t="str">
        <f t="shared" si="1"/>
        <v>Costed Item</v>
      </c>
      <c r="M44" s="6">
        <f t="shared" si="2"/>
        <v>145</v>
      </c>
      <c r="N44" s="5" t="s">
        <v>326</v>
      </c>
      <c r="O44" s="5" t="s">
        <v>105</v>
      </c>
      <c r="P44" s="5" t="s">
        <v>372</v>
      </c>
    </row>
    <row r="45" spans="1:16" x14ac:dyDescent="0.2">
      <c r="A45" s="5">
        <v>2</v>
      </c>
      <c r="B45" s="5" t="s">
        <v>106</v>
      </c>
      <c r="C45" s="5" t="s">
        <v>110</v>
      </c>
      <c r="D45" s="5" t="s">
        <v>232</v>
      </c>
      <c r="E45" s="5">
        <v>4</v>
      </c>
      <c r="F45" s="5" t="s">
        <v>16</v>
      </c>
      <c r="G45" s="5" t="s">
        <v>29</v>
      </c>
      <c r="H45" s="5" t="s">
        <v>275</v>
      </c>
      <c r="I45" s="5" t="s">
        <v>288</v>
      </c>
      <c r="J45" s="6">
        <v>75</v>
      </c>
      <c r="K45" s="6">
        <f t="shared" si="0"/>
        <v>300</v>
      </c>
      <c r="L45" s="6" t="str">
        <f t="shared" si="1"/>
        <v>Costed Item</v>
      </c>
      <c r="M45" s="6">
        <f t="shared" si="2"/>
        <v>300</v>
      </c>
      <c r="N45" s="5" t="s">
        <v>327</v>
      </c>
      <c r="O45" s="5" t="s">
        <v>105</v>
      </c>
      <c r="P45" s="5" t="s">
        <v>373</v>
      </c>
    </row>
    <row r="46" spans="1:16" x14ac:dyDescent="0.2">
      <c r="A46" s="5">
        <v>2</v>
      </c>
      <c r="B46" s="5" t="s">
        <v>106</v>
      </c>
      <c r="C46" s="5" t="s">
        <v>111</v>
      </c>
      <c r="D46" s="5" t="s">
        <v>233</v>
      </c>
      <c r="E46" s="5">
        <v>1</v>
      </c>
      <c r="F46" s="5" t="s">
        <v>16</v>
      </c>
      <c r="G46" s="5" t="s">
        <v>29</v>
      </c>
      <c r="H46" s="5" t="s">
        <v>275</v>
      </c>
      <c r="I46" s="5" t="s">
        <v>288</v>
      </c>
      <c r="J46" s="6">
        <v>90</v>
      </c>
      <c r="K46" s="6">
        <f t="shared" si="0"/>
        <v>90</v>
      </c>
      <c r="L46" s="6" t="str">
        <f t="shared" si="1"/>
        <v>Costed Item</v>
      </c>
      <c r="M46" s="6">
        <f t="shared" si="2"/>
        <v>90</v>
      </c>
      <c r="N46" s="5" t="s">
        <v>328</v>
      </c>
      <c r="O46" s="5" t="s">
        <v>105</v>
      </c>
      <c r="P46" s="5" t="s">
        <v>371</v>
      </c>
    </row>
    <row r="47" spans="1:16" x14ac:dyDescent="0.2">
      <c r="A47" s="5">
        <v>2</v>
      </c>
      <c r="B47" s="5" t="s">
        <v>106</v>
      </c>
      <c r="C47" s="5" t="s">
        <v>112</v>
      </c>
      <c r="D47" s="5" t="s">
        <v>234</v>
      </c>
      <c r="E47" s="5">
        <v>1</v>
      </c>
      <c r="F47" s="5" t="s">
        <v>16</v>
      </c>
      <c r="G47" s="5" t="s">
        <v>0</v>
      </c>
      <c r="H47" s="5" t="s">
        <v>275</v>
      </c>
      <c r="I47" s="5" t="s">
        <v>287</v>
      </c>
      <c r="J47" s="6">
        <v>260</v>
      </c>
      <c r="K47" s="6">
        <f t="shared" si="0"/>
        <v>260</v>
      </c>
      <c r="L47" s="6" t="str">
        <f t="shared" si="1"/>
        <v>Costed Item</v>
      </c>
      <c r="M47" s="6">
        <f t="shared" si="2"/>
        <v>260</v>
      </c>
      <c r="N47" s="5" t="s">
        <v>329</v>
      </c>
      <c r="O47" s="5" t="s">
        <v>105</v>
      </c>
      <c r="P47" s="5" t="s">
        <v>371</v>
      </c>
    </row>
    <row r="48" spans="1:16" x14ac:dyDescent="0.2">
      <c r="A48" s="5">
        <v>2</v>
      </c>
      <c r="B48" s="5" t="s">
        <v>106</v>
      </c>
      <c r="C48" s="5" t="s">
        <v>113</v>
      </c>
      <c r="D48" s="5" t="s">
        <v>235</v>
      </c>
      <c r="E48" s="5">
        <v>1</v>
      </c>
      <c r="F48" s="5" t="s">
        <v>16</v>
      </c>
      <c r="G48" s="5" t="s">
        <v>0</v>
      </c>
      <c r="H48" s="5" t="s">
        <v>275</v>
      </c>
      <c r="I48" s="5" t="s">
        <v>287</v>
      </c>
      <c r="J48" s="6">
        <v>180</v>
      </c>
      <c r="K48" s="6">
        <f t="shared" si="0"/>
        <v>180</v>
      </c>
      <c r="L48" s="6" t="str">
        <f t="shared" si="1"/>
        <v>Costed Item</v>
      </c>
      <c r="M48" s="6">
        <f t="shared" si="2"/>
        <v>180</v>
      </c>
      <c r="N48" s="5" t="s">
        <v>329</v>
      </c>
      <c r="O48" s="5" t="s">
        <v>105</v>
      </c>
      <c r="P48" s="5" t="s">
        <v>372</v>
      </c>
    </row>
    <row r="49" spans="1:16" x14ac:dyDescent="0.2">
      <c r="A49" s="5">
        <v>2</v>
      </c>
      <c r="B49" s="5" t="s">
        <v>106</v>
      </c>
      <c r="C49" s="5" t="s">
        <v>114</v>
      </c>
      <c r="D49" s="5" t="s">
        <v>236</v>
      </c>
      <c r="E49" s="5">
        <v>1</v>
      </c>
      <c r="F49" s="5" t="s">
        <v>16</v>
      </c>
      <c r="G49" s="5" t="s">
        <v>0</v>
      </c>
      <c r="H49" s="5" t="s">
        <v>275</v>
      </c>
      <c r="I49" s="5" t="s">
        <v>287</v>
      </c>
      <c r="J49" s="6">
        <v>220</v>
      </c>
      <c r="K49" s="6">
        <f t="shared" si="0"/>
        <v>220</v>
      </c>
      <c r="L49" s="6" t="str">
        <f t="shared" si="1"/>
        <v>Costed Item</v>
      </c>
      <c r="M49" s="6">
        <f t="shared" si="2"/>
        <v>220</v>
      </c>
      <c r="N49" s="5" t="s">
        <v>330</v>
      </c>
      <c r="O49" s="5" t="s">
        <v>105</v>
      </c>
      <c r="P49" s="5" t="s">
        <v>372</v>
      </c>
    </row>
    <row r="50" spans="1:16" x14ac:dyDescent="0.2">
      <c r="A50" s="5">
        <v>2</v>
      </c>
      <c r="B50" s="5" t="s">
        <v>106</v>
      </c>
      <c r="C50" s="5" t="s">
        <v>115</v>
      </c>
      <c r="D50" s="5" t="s">
        <v>237</v>
      </c>
      <c r="E50" s="5">
        <v>1</v>
      </c>
      <c r="F50" s="5" t="s">
        <v>45</v>
      </c>
      <c r="G50" s="5" t="s">
        <v>29</v>
      </c>
      <c r="H50" s="5" t="s">
        <v>275</v>
      </c>
      <c r="I50" s="5" t="s">
        <v>285</v>
      </c>
      <c r="J50" s="6">
        <v>55</v>
      </c>
      <c r="K50" s="6">
        <f t="shared" si="0"/>
        <v>55</v>
      </c>
      <c r="L50" s="6" t="str">
        <f t="shared" si="1"/>
        <v>Costed Item</v>
      </c>
      <c r="M50" s="6">
        <f t="shared" si="2"/>
        <v>55</v>
      </c>
      <c r="N50" s="5" t="s">
        <v>331</v>
      </c>
      <c r="O50" s="5" t="s">
        <v>105</v>
      </c>
      <c r="P50" s="5" t="s">
        <v>373</v>
      </c>
    </row>
    <row r="51" spans="1:16" x14ac:dyDescent="0.2">
      <c r="A51" s="5">
        <v>2</v>
      </c>
      <c r="B51" s="5" t="s">
        <v>106</v>
      </c>
      <c r="C51" s="5" t="s">
        <v>116</v>
      </c>
      <c r="D51" s="5" t="s">
        <v>238</v>
      </c>
      <c r="E51" s="5">
        <v>1</v>
      </c>
      <c r="F51" s="5" t="s">
        <v>45</v>
      </c>
      <c r="G51" s="5" t="s">
        <v>61</v>
      </c>
      <c r="H51" s="5" t="s">
        <v>275</v>
      </c>
      <c r="I51" s="5" t="s">
        <v>290</v>
      </c>
      <c r="J51" s="6">
        <v>18</v>
      </c>
      <c r="K51" s="6">
        <f t="shared" si="0"/>
        <v>18</v>
      </c>
      <c r="L51" s="6" t="str">
        <f t="shared" si="1"/>
        <v>Costed Item</v>
      </c>
      <c r="M51" s="6">
        <f t="shared" si="2"/>
        <v>18</v>
      </c>
      <c r="N51" s="5" t="s">
        <v>332</v>
      </c>
      <c r="O51" s="5" t="s">
        <v>105</v>
      </c>
      <c r="P51" s="5" t="s">
        <v>374</v>
      </c>
    </row>
    <row r="52" spans="1:16" x14ac:dyDescent="0.2">
      <c r="A52" s="5">
        <v>2</v>
      </c>
      <c r="B52" s="5" t="s">
        <v>119</v>
      </c>
      <c r="C52" s="5" t="s">
        <v>120</v>
      </c>
      <c r="D52" s="5" t="s">
        <v>240</v>
      </c>
      <c r="E52" s="5">
        <v>1</v>
      </c>
      <c r="F52" s="5" t="s">
        <v>16</v>
      </c>
      <c r="G52" s="5" t="s">
        <v>17</v>
      </c>
      <c r="H52" s="5" t="s">
        <v>275</v>
      </c>
      <c r="I52" s="5" t="s">
        <v>281</v>
      </c>
      <c r="J52" s="6">
        <v>420</v>
      </c>
      <c r="K52" s="6">
        <f t="shared" si="0"/>
        <v>420</v>
      </c>
      <c r="L52" s="6" t="str">
        <f t="shared" si="1"/>
        <v>Costed Item</v>
      </c>
      <c r="M52" s="6">
        <f t="shared" si="2"/>
        <v>420</v>
      </c>
      <c r="N52" s="5" t="s">
        <v>333</v>
      </c>
      <c r="O52" s="5" t="s">
        <v>117</v>
      </c>
      <c r="P52" s="5" t="s">
        <v>372</v>
      </c>
    </row>
    <row r="53" spans="1:16" x14ac:dyDescent="0.2">
      <c r="A53" s="5">
        <v>2</v>
      </c>
      <c r="B53" s="5" t="s">
        <v>119</v>
      </c>
      <c r="C53" s="5" t="s">
        <v>121</v>
      </c>
      <c r="D53" s="5" t="s">
        <v>241</v>
      </c>
      <c r="E53" s="5">
        <v>1</v>
      </c>
      <c r="F53" s="5" t="s">
        <v>16</v>
      </c>
      <c r="G53" s="5" t="s">
        <v>17</v>
      </c>
      <c r="H53" s="5" t="s">
        <v>275</v>
      </c>
      <c r="I53" s="5" t="s">
        <v>281</v>
      </c>
      <c r="J53" s="6">
        <v>460</v>
      </c>
      <c r="K53" s="6">
        <f t="shared" si="0"/>
        <v>460</v>
      </c>
      <c r="L53" s="6" t="str">
        <f t="shared" si="1"/>
        <v>Costed Item</v>
      </c>
      <c r="M53" s="6">
        <f t="shared" si="2"/>
        <v>460</v>
      </c>
      <c r="N53" s="5" t="s">
        <v>334</v>
      </c>
      <c r="O53" s="5" t="s">
        <v>117</v>
      </c>
      <c r="P53" s="5" t="s">
        <v>372</v>
      </c>
    </row>
    <row r="54" spans="1:16" x14ac:dyDescent="0.2">
      <c r="A54" s="5">
        <v>2</v>
      </c>
      <c r="B54" s="5" t="s">
        <v>119</v>
      </c>
      <c r="C54" s="5" t="s">
        <v>122</v>
      </c>
      <c r="D54" s="5" t="s">
        <v>242</v>
      </c>
      <c r="E54" s="5">
        <v>4</v>
      </c>
      <c r="F54" s="5" t="s">
        <v>16</v>
      </c>
      <c r="G54" s="5" t="s">
        <v>17</v>
      </c>
      <c r="H54" s="5" t="s">
        <v>275</v>
      </c>
      <c r="I54" s="5" t="s">
        <v>288</v>
      </c>
      <c r="J54" s="6">
        <v>85</v>
      </c>
      <c r="K54" s="6">
        <f t="shared" si="0"/>
        <v>340</v>
      </c>
      <c r="L54" s="6" t="str">
        <f t="shared" si="1"/>
        <v>Costed Item</v>
      </c>
      <c r="M54" s="6">
        <f t="shared" si="2"/>
        <v>340</v>
      </c>
      <c r="N54" s="5" t="s">
        <v>335</v>
      </c>
      <c r="O54" s="5" t="s">
        <v>117</v>
      </c>
      <c r="P54" s="5" t="s">
        <v>372</v>
      </c>
    </row>
    <row r="55" spans="1:16" x14ac:dyDescent="0.2">
      <c r="A55" s="5">
        <v>2</v>
      </c>
      <c r="B55" s="5" t="s">
        <v>119</v>
      </c>
      <c r="C55" s="5" t="s">
        <v>123</v>
      </c>
      <c r="D55" s="5" t="s">
        <v>243</v>
      </c>
      <c r="E55" s="5">
        <v>1</v>
      </c>
      <c r="F55" s="5" t="s">
        <v>16</v>
      </c>
      <c r="G55" s="5" t="s">
        <v>38</v>
      </c>
      <c r="H55" s="5" t="s">
        <v>275</v>
      </c>
      <c r="I55" s="5" t="s">
        <v>288</v>
      </c>
      <c r="J55" s="6">
        <v>120</v>
      </c>
      <c r="K55" s="6">
        <f t="shared" si="0"/>
        <v>120</v>
      </c>
      <c r="L55" s="6" t="str">
        <f t="shared" si="1"/>
        <v>Costed Item</v>
      </c>
      <c r="M55" s="6">
        <f t="shared" si="2"/>
        <v>120</v>
      </c>
      <c r="N55" s="5" t="s">
        <v>336</v>
      </c>
      <c r="O55" s="5" t="s">
        <v>117</v>
      </c>
      <c r="P55" s="5" t="s">
        <v>371</v>
      </c>
    </row>
    <row r="56" spans="1:16" x14ac:dyDescent="0.2">
      <c r="A56" s="5">
        <v>2</v>
      </c>
      <c r="B56" s="5" t="s">
        <v>119</v>
      </c>
      <c r="C56" s="5" t="s">
        <v>124</v>
      </c>
      <c r="D56" s="5" t="s">
        <v>244</v>
      </c>
      <c r="E56" s="5">
        <v>1</v>
      </c>
      <c r="F56" s="5" t="s">
        <v>16</v>
      </c>
      <c r="G56" s="5" t="s">
        <v>38</v>
      </c>
      <c r="H56" s="5" t="s">
        <v>275</v>
      </c>
      <c r="I56" s="5" t="s">
        <v>288</v>
      </c>
      <c r="J56" s="6">
        <v>110</v>
      </c>
      <c r="K56" s="6">
        <f t="shared" si="0"/>
        <v>110</v>
      </c>
      <c r="L56" s="6" t="str">
        <f t="shared" si="1"/>
        <v>Costed Item</v>
      </c>
      <c r="M56" s="6">
        <f t="shared" si="2"/>
        <v>110</v>
      </c>
      <c r="N56" s="5" t="s">
        <v>336</v>
      </c>
      <c r="O56" s="5" t="s">
        <v>117</v>
      </c>
      <c r="P56" s="5" t="s">
        <v>371</v>
      </c>
    </row>
    <row r="57" spans="1:16" x14ac:dyDescent="0.2">
      <c r="A57" s="5">
        <v>2</v>
      </c>
      <c r="B57" s="5" t="s">
        <v>119</v>
      </c>
      <c r="C57" s="5" t="s">
        <v>125</v>
      </c>
      <c r="D57" s="5" t="s">
        <v>245</v>
      </c>
      <c r="E57" s="5">
        <v>1</v>
      </c>
      <c r="F57" s="5" t="s">
        <v>16</v>
      </c>
      <c r="G57" s="5" t="s">
        <v>118</v>
      </c>
      <c r="H57" s="5" t="s">
        <v>275</v>
      </c>
      <c r="I57" s="5" t="s">
        <v>281</v>
      </c>
      <c r="J57" s="6">
        <v>340</v>
      </c>
      <c r="K57" s="6">
        <f t="shared" si="0"/>
        <v>340</v>
      </c>
      <c r="L57" s="6" t="str">
        <f t="shared" si="1"/>
        <v>Costed Item</v>
      </c>
      <c r="M57" s="6">
        <f t="shared" si="2"/>
        <v>340</v>
      </c>
      <c r="N57" s="5" t="s">
        <v>337</v>
      </c>
      <c r="O57" s="5" t="s">
        <v>117</v>
      </c>
      <c r="P57" s="5" t="s">
        <v>373</v>
      </c>
    </row>
    <row r="58" spans="1:16" x14ac:dyDescent="0.2">
      <c r="A58" s="5">
        <v>2</v>
      </c>
      <c r="B58" s="5" t="s">
        <v>119</v>
      </c>
      <c r="C58" s="5" t="s">
        <v>126</v>
      </c>
      <c r="D58" s="5" t="s">
        <v>246</v>
      </c>
      <c r="E58" s="5">
        <v>1</v>
      </c>
      <c r="F58" s="5" t="s">
        <v>16</v>
      </c>
      <c r="G58" s="5" t="s">
        <v>118</v>
      </c>
      <c r="H58" s="5" t="s">
        <v>275</v>
      </c>
      <c r="I58" s="5" t="s">
        <v>281</v>
      </c>
      <c r="J58" s="6">
        <v>340</v>
      </c>
      <c r="K58" s="6">
        <f t="shared" si="0"/>
        <v>340</v>
      </c>
      <c r="L58" s="6" t="str">
        <f t="shared" si="1"/>
        <v>Costed Item</v>
      </c>
      <c r="M58" s="6">
        <f t="shared" si="2"/>
        <v>340</v>
      </c>
      <c r="N58" s="5" t="s">
        <v>337</v>
      </c>
      <c r="O58" s="5" t="s">
        <v>117</v>
      </c>
      <c r="P58" s="5" t="s">
        <v>373</v>
      </c>
    </row>
    <row r="59" spans="1:16" x14ac:dyDescent="0.2">
      <c r="A59" s="5">
        <v>2</v>
      </c>
      <c r="B59" s="5" t="s">
        <v>119</v>
      </c>
      <c r="C59" s="5" t="s">
        <v>127</v>
      </c>
      <c r="D59" s="5" t="s">
        <v>247</v>
      </c>
      <c r="E59" s="5">
        <v>1</v>
      </c>
      <c r="F59" s="5" t="s">
        <v>16</v>
      </c>
      <c r="G59" s="5" t="s">
        <v>118</v>
      </c>
      <c r="H59" s="5" t="s">
        <v>275</v>
      </c>
      <c r="I59" s="5" t="s">
        <v>281</v>
      </c>
      <c r="J59" s="6">
        <v>340</v>
      </c>
      <c r="K59" s="6">
        <f t="shared" si="0"/>
        <v>340</v>
      </c>
      <c r="L59" s="6" t="str">
        <f t="shared" si="1"/>
        <v>Costed Item</v>
      </c>
      <c r="M59" s="6">
        <f t="shared" si="2"/>
        <v>340</v>
      </c>
      <c r="N59" s="5" t="s">
        <v>337</v>
      </c>
      <c r="O59" s="5" t="s">
        <v>117</v>
      </c>
      <c r="P59" s="5" t="s">
        <v>373</v>
      </c>
    </row>
    <row r="60" spans="1:16" x14ac:dyDescent="0.2">
      <c r="A60" s="5">
        <v>2</v>
      </c>
      <c r="B60" s="5" t="s">
        <v>119</v>
      </c>
      <c r="C60" s="5" t="s">
        <v>128</v>
      </c>
      <c r="D60" s="5" t="s">
        <v>248</v>
      </c>
      <c r="E60" s="5">
        <v>1</v>
      </c>
      <c r="F60" s="5" t="s">
        <v>16</v>
      </c>
      <c r="G60" s="5" t="s">
        <v>118</v>
      </c>
      <c r="H60" s="5" t="s">
        <v>275</v>
      </c>
      <c r="I60" s="5" t="s">
        <v>281</v>
      </c>
      <c r="J60" s="6">
        <v>340</v>
      </c>
      <c r="K60" s="6">
        <f t="shared" si="0"/>
        <v>340</v>
      </c>
      <c r="L60" s="6" t="str">
        <f t="shared" si="1"/>
        <v>Costed Item</v>
      </c>
      <c r="M60" s="6">
        <f t="shared" si="2"/>
        <v>340</v>
      </c>
      <c r="N60" s="5" t="s">
        <v>337</v>
      </c>
      <c r="O60" s="5" t="s">
        <v>117</v>
      </c>
      <c r="P60" s="5" t="s">
        <v>373</v>
      </c>
    </row>
    <row r="61" spans="1:16" x14ac:dyDescent="0.2">
      <c r="A61" s="5">
        <v>2</v>
      </c>
      <c r="B61" s="5" t="s">
        <v>119</v>
      </c>
      <c r="C61" s="5" t="s">
        <v>129</v>
      </c>
      <c r="D61" s="5" t="s">
        <v>249</v>
      </c>
      <c r="E61" s="5">
        <v>1</v>
      </c>
      <c r="F61" s="5" t="s">
        <v>16</v>
      </c>
      <c r="G61" s="5" t="s">
        <v>118</v>
      </c>
      <c r="H61" s="5" t="s">
        <v>275</v>
      </c>
      <c r="I61" s="5" t="s">
        <v>288</v>
      </c>
      <c r="J61" s="6">
        <v>260</v>
      </c>
      <c r="K61" s="6">
        <f t="shared" si="0"/>
        <v>260</v>
      </c>
      <c r="L61" s="6" t="str">
        <f t="shared" si="1"/>
        <v>Costed Item</v>
      </c>
      <c r="M61" s="6">
        <f t="shared" si="2"/>
        <v>260</v>
      </c>
      <c r="N61" s="5" t="s">
        <v>338</v>
      </c>
      <c r="O61" s="5" t="s">
        <v>117</v>
      </c>
      <c r="P61" s="5" t="s">
        <v>373</v>
      </c>
    </row>
    <row r="62" spans="1:16" x14ac:dyDescent="0.2">
      <c r="A62" s="5">
        <v>2</v>
      </c>
      <c r="B62" s="5" t="s">
        <v>119</v>
      </c>
      <c r="C62" s="5" t="s">
        <v>130</v>
      </c>
      <c r="D62" s="5" t="s">
        <v>250</v>
      </c>
      <c r="E62" s="5">
        <v>1</v>
      </c>
      <c r="F62" s="5" t="s">
        <v>16</v>
      </c>
      <c r="G62" s="5" t="s">
        <v>118</v>
      </c>
      <c r="H62" s="5" t="s">
        <v>275</v>
      </c>
      <c r="I62" s="5" t="s">
        <v>288</v>
      </c>
      <c r="J62" s="6">
        <v>320</v>
      </c>
      <c r="K62" s="6">
        <f t="shared" si="0"/>
        <v>320</v>
      </c>
      <c r="L62" s="6" t="str">
        <f t="shared" si="1"/>
        <v>Costed Item</v>
      </c>
      <c r="M62" s="6">
        <f t="shared" si="2"/>
        <v>320</v>
      </c>
      <c r="N62" s="5" t="s">
        <v>338</v>
      </c>
      <c r="O62" s="5" t="s">
        <v>117</v>
      </c>
      <c r="P62" s="5" t="s">
        <v>373</v>
      </c>
    </row>
    <row r="63" spans="1:16" x14ac:dyDescent="0.2">
      <c r="A63" s="5">
        <v>2</v>
      </c>
      <c r="B63" s="5" t="s">
        <v>119</v>
      </c>
      <c r="C63" s="5" t="s">
        <v>131</v>
      </c>
      <c r="D63" s="5" t="s">
        <v>251</v>
      </c>
      <c r="E63" s="5">
        <v>1</v>
      </c>
      <c r="F63" s="5" t="s">
        <v>16</v>
      </c>
      <c r="G63" s="5" t="s">
        <v>118</v>
      </c>
      <c r="H63" s="5" t="s">
        <v>275</v>
      </c>
      <c r="I63" s="5" t="s">
        <v>288</v>
      </c>
      <c r="J63" s="6">
        <v>280</v>
      </c>
      <c r="K63" s="6">
        <f t="shared" si="0"/>
        <v>280</v>
      </c>
      <c r="L63" s="6" t="str">
        <f t="shared" si="1"/>
        <v>Costed Item</v>
      </c>
      <c r="M63" s="6">
        <f t="shared" si="2"/>
        <v>280</v>
      </c>
      <c r="N63" s="5" t="s">
        <v>338</v>
      </c>
      <c r="O63" s="5" t="s">
        <v>117</v>
      </c>
      <c r="P63" s="5" t="s">
        <v>373</v>
      </c>
    </row>
    <row r="64" spans="1:16" x14ac:dyDescent="0.2">
      <c r="A64" s="5">
        <v>2</v>
      </c>
      <c r="B64" s="5" t="s">
        <v>119</v>
      </c>
      <c r="C64" s="5" t="s">
        <v>132</v>
      </c>
      <c r="D64" s="5" t="s">
        <v>252</v>
      </c>
      <c r="E64" s="5">
        <v>4</v>
      </c>
      <c r="F64" s="5" t="s">
        <v>16</v>
      </c>
      <c r="G64" s="5" t="s">
        <v>118</v>
      </c>
      <c r="H64" s="5" t="s">
        <v>275</v>
      </c>
      <c r="I64" s="5" t="s">
        <v>288</v>
      </c>
      <c r="J64" s="6">
        <v>220</v>
      </c>
      <c r="K64" s="6">
        <f t="shared" si="0"/>
        <v>880</v>
      </c>
      <c r="L64" s="6" t="str">
        <f t="shared" si="1"/>
        <v>Costed Item</v>
      </c>
      <c r="M64" s="6">
        <f t="shared" si="2"/>
        <v>880</v>
      </c>
      <c r="N64" s="5" t="s">
        <v>338</v>
      </c>
      <c r="O64" s="5" t="s">
        <v>117</v>
      </c>
      <c r="P64" s="5" t="s">
        <v>373</v>
      </c>
    </row>
    <row r="65" spans="1:16" x14ac:dyDescent="0.2">
      <c r="A65" s="5">
        <v>2</v>
      </c>
      <c r="B65" s="5" t="s">
        <v>119</v>
      </c>
      <c r="C65" s="5" t="s">
        <v>133</v>
      </c>
      <c r="D65" s="5" t="s">
        <v>253</v>
      </c>
      <c r="E65" s="5">
        <v>3</v>
      </c>
      <c r="F65" s="5" t="s">
        <v>40</v>
      </c>
      <c r="G65" s="5" t="s">
        <v>41</v>
      </c>
      <c r="H65" s="5" t="s">
        <v>275</v>
      </c>
      <c r="I65" s="5" t="s">
        <v>286</v>
      </c>
      <c r="J65" s="6">
        <v>45</v>
      </c>
      <c r="K65" s="6">
        <f t="shared" si="0"/>
        <v>135</v>
      </c>
      <c r="L65" s="6" t="str">
        <f t="shared" si="1"/>
        <v>Costed Item</v>
      </c>
      <c r="M65" s="6">
        <f t="shared" si="2"/>
        <v>135</v>
      </c>
      <c r="N65" s="5" t="s">
        <v>339</v>
      </c>
      <c r="O65" s="5" t="s">
        <v>117</v>
      </c>
      <c r="P65" s="5" t="s">
        <v>373</v>
      </c>
    </row>
    <row r="66" spans="1:16" x14ac:dyDescent="0.2">
      <c r="A66" s="5">
        <v>2</v>
      </c>
      <c r="B66" s="5" t="s">
        <v>119</v>
      </c>
      <c r="C66" s="5" t="s">
        <v>134</v>
      </c>
      <c r="D66" s="5" t="s">
        <v>254</v>
      </c>
      <c r="E66" s="5">
        <v>1</v>
      </c>
      <c r="F66" s="5" t="s">
        <v>45</v>
      </c>
      <c r="G66" s="5" t="s">
        <v>61</v>
      </c>
      <c r="H66" s="5" t="s">
        <v>275</v>
      </c>
      <c r="I66" s="5" t="s">
        <v>290</v>
      </c>
      <c r="J66" s="6">
        <v>85</v>
      </c>
      <c r="K66" s="6">
        <f t="shared" si="0"/>
        <v>85</v>
      </c>
      <c r="L66" s="6" t="str">
        <f t="shared" si="1"/>
        <v>Costed Item</v>
      </c>
      <c r="M66" s="6">
        <f t="shared" si="2"/>
        <v>85</v>
      </c>
      <c r="N66" s="5" t="s">
        <v>340</v>
      </c>
      <c r="O66" s="5" t="s">
        <v>117</v>
      </c>
      <c r="P66" s="5" t="s">
        <v>374</v>
      </c>
    </row>
    <row r="67" spans="1:16" x14ac:dyDescent="0.2">
      <c r="A67" s="5">
        <v>2</v>
      </c>
      <c r="B67" s="5" t="s">
        <v>136</v>
      </c>
      <c r="C67" s="5" t="s">
        <v>137</v>
      </c>
      <c r="D67" s="5" t="s">
        <v>256</v>
      </c>
      <c r="E67" s="5">
        <v>1</v>
      </c>
      <c r="F67" s="5" t="s">
        <v>16</v>
      </c>
      <c r="G67" s="5" t="s">
        <v>35</v>
      </c>
      <c r="H67" s="5" t="s">
        <v>275</v>
      </c>
      <c r="I67" s="5" t="s">
        <v>280</v>
      </c>
      <c r="J67" s="6">
        <v>95</v>
      </c>
      <c r="K67" s="6">
        <f t="shared" ref="K67:K111" si="3">E67*J67</f>
        <v>95</v>
      </c>
      <c r="L67" s="6" t="str">
        <f t="shared" ref="L67:L111" si="4">IF(A67&lt;=1,"Summary","Costed Item")</f>
        <v>Costed Item</v>
      </c>
      <c r="M67" s="6">
        <f t="shared" ref="M67:M111" si="5">IF(L67="Costed Item",K67,0)</f>
        <v>95</v>
      </c>
      <c r="N67" s="5" t="s">
        <v>305</v>
      </c>
      <c r="O67" s="5" t="s">
        <v>135</v>
      </c>
      <c r="P67" s="5" t="s">
        <v>372</v>
      </c>
    </row>
    <row r="68" spans="1:16" x14ac:dyDescent="0.2">
      <c r="A68" s="5">
        <v>2</v>
      </c>
      <c r="B68" s="5" t="s">
        <v>136</v>
      </c>
      <c r="C68" s="5" t="s">
        <v>138</v>
      </c>
      <c r="D68" s="5" t="s">
        <v>257</v>
      </c>
      <c r="E68" s="5">
        <v>1</v>
      </c>
      <c r="F68" s="5" t="s">
        <v>16</v>
      </c>
      <c r="G68" s="5" t="s">
        <v>35</v>
      </c>
      <c r="H68" s="5" t="s">
        <v>275</v>
      </c>
      <c r="I68" s="5" t="s">
        <v>280</v>
      </c>
      <c r="J68" s="6">
        <v>160</v>
      </c>
      <c r="K68" s="6">
        <f t="shared" si="3"/>
        <v>160</v>
      </c>
      <c r="L68" s="6" t="str">
        <f t="shared" si="4"/>
        <v>Costed Item</v>
      </c>
      <c r="M68" s="6">
        <f t="shared" si="5"/>
        <v>160</v>
      </c>
      <c r="N68" s="5" t="s">
        <v>305</v>
      </c>
      <c r="O68" s="5" t="s">
        <v>135</v>
      </c>
      <c r="P68" s="5" t="s">
        <v>373</v>
      </c>
    </row>
    <row r="69" spans="1:16" x14ac:dyDescent="0.2">
      <c r="A69" s="5">
        <v>2</v>
      </c>
      <c r="B69" s="5" t="s">
        <v>136</v>
      </c>
      <c r="C69" s="5" t="s">
        <v>139</v>
      </c>
      <c r="D69" s="5" t="s">
        <v>258</v>
      </c>
      <c r="E69" s="5">
        <v>1</v>
      </c>
      <c r="F69" s="5" t="s">
        <v>16</v>
      </c>
      <c r="G69" s="5" t="s">
        <v>35</v>
      </c>
      <c r="H69" s="5" t="s">
        <v>275</v>
      </c>
      <c r="I69" s="5" t="s">
        <v>288</v>
      </c>
      <c r="J69" s="6">
        <v>140</v>
      </c>
      <c r="K69" s="6">
        <f t="shared" si="3"/>
        <v>140</v>
      </c>
      <c r="L69" s="6" t="str">
        <f t="shared" si="4"/>
        <v>Costed Item</v>
      </c>
      <c r="M69" s="6">
        <f t="shared" si="5"/>
        <v>140</v>
      </c>
      <c r="N69" s="5" t="s">
        <v>305</v>
      </c>
      <c r="O69" s="5" t="s">
        <v>135</v>
      </c>
      <c r="P69" s="5" t="s">
        <v>372</v>
      </c>
    </row>
    <row r="70" spans="1:16" x14ac:dyDescent="0.2">
      <c r="A70" s="5">
        <v>2</v>
      </c>
      <c r="B70" s="5" t="s">
        <v>136</v>
      </c>
      <c r="C70" s="5" t="s">
        <v>140</v>
      </c>
      <c r="D70" s="5" t="s">
        <v>259</v>
      </c>
      <c r="E70" s="5">
        <v>1</v>
      </c>
      <c r="F70" s="5" t="s">
        <v>16</v>
      </c>
      <c r="G70" s="5" t="s">
        <v>35</v>
      </c>
      <c r="H70" s="5" t="s">
        <v>275</v>
      </c>
      <c r="I70" s="5" t="s">
        <v>288</v>
      </c>
      <c r="J70" s="6">
        <v>220</v>
      </c>
      <c r="K70" s="6">
        <f t="shared" si="3"/>
        <v>220</v>
      </c>
      <c r="L70" s="6" t="str">
        <f t="shared" si="4"/>
        <v>Costed Item</v>
      </c>
      <c r="M70" s="6">
        <f t="shared" si="5"/>
        <v>220</v>
      </c>
      <c r="N70" s="5" t="s">
        <v>312</v>
      </c>
      <c r="O70" s="5" t="s">
        <v>135</v>
      </c>
      <c r="P70" s="5" t="s">
        <v>371</v>
      </c>
    </row>
    <row r="71" spans="1:16" x14ac:dyDescent="0.2">
      <c r="A71" s="5">
        <v>2</v>
      </c>
      <c r="B71" s="5" t="s">
        <v>136</v>
      </c>
      <c r="C71" s="5" t="s">
        <v>141</v>
      </c>
      <c r="D71" s="5" t="s">
        <v>260</v>
      </c>
      <c r="E71" s="5">
        <v>1</v>
      </c>
      <c r="F71" s="5" t="s">
        <v>16</v>
      </c>
      <c r="G71" s="5" t="s">
        <v>35</v>
      </c>
      <c r="H71" s="5" t="s">
        <v>275</v>
      </c>
      <c r="I71" s="5" t="s">
        <v>283</v>
      </c>
      <c r="J71" s="6">
        <v>65</v>
      </c>
      <c r="K71" s="6">
        <f t="shared" si="3"/>
        <v>65</v>
      </c>
      <c r="L71" s="6" t="str">
        <f t="shared" si="4"/>
        <v>Costed Item</v>
      </c>
      <c r="M71" s="6">
        <f t="shared" si="5"/>
        <v>65</v>
      </c>
      <c r="N71" s="5" t="s">
        <v>305</v>
      </c>
      <c r="O71" s="5" t="s">
        <v>135</v>
      </c>
      <c r="P71" s="5" t="s">
        <v>373</v>
      </c>
    </row>
    <row r="72" spans="1:16" x14ac:dyDescent="0.2">
      <c r="A72" s="5">
        <v>2</v>
      </c>
      <c r="B72" s="5" t="s">
        <v>136</v>
      </c>
      <c r="C72" s="5" t="s">
        <v>142</v>
      </c>
      <c r="D72" s="5" t="s">
        <v>261</v>
      </c>
      <c r="E72" s="5">
        <v>1</v>
      </c>
      <c r="F72" s="5" t="s">
        <v>45</v>
      </c>
      <c r="G72" s="5" t="s">
        <v>35</v>
      </c>
      <c r="H72" s="5" t="s">
        <v>275</v>
      </c>
      <c r="I72" s="5" t="s">
        <v>283</v>
      </c>
      <c r="J72" s="6">
        <v>90</v>
      </c>
      <c r="K72" s="6">
        <f t="shared" si="3"/>
        <v>90</v>
      </c>
      <c r="L72" s="6" t="str">
        <f t="shared" si="4"/>
        <v>Costed Item</v>
      </c>
      <c r="M72" s="6">
        <f t="shared" si="5"/>
        <v>90</v>
      </c>
      <c r="N72" s="5" t="s">
        <v>341</v>
      </c>
      <c r="O72" s="5" t="s">
        <v>135</v>
      </c>
      <c r="P72" s="5" t="s">
        <v>373</v>
      </c>
    </row>
    <row r="73" spans="1:16" x14ac:dyDescent="0.2">
      <c r="A73" s="5">
        <v>2</v>
      </c>
      <c r="B73" s="5" t="s">
        <v>136</v>
      </c>
      <c r="C73" s="5" t="s">
        <v>143</v>
      </c>
      <c r="D73" s="5" t="s">
        <v>262</v>
      </c>
      <c r="E73" s="5">
        <v>1</v>
      </c>
      <c r="F73" s="5" t="s">
        <v>45</v>
      </c>
      <c r="G73" s="5" t="s">
        <v>35</v>
      </c>
      <c r="H73" s="5" t="s">
        <v>275</v>
      </c>
      <c r="I73" s="5" t="s">
        <v>283</v>
      </c>
      <c r="J73" s="6">
        <v>130</v>
      </c>
      <c r="K73" s="6">
        <f t="shared" si="3"/>
        <v>130</v>
      </c>
      <c r="L73" s="6" t="str">
        <f t="shared" si="4"/>
        <v>Costed Item</v>
      </c>
      <c r="M73" s="6">
        <f t="shared" si="5"/>
        <v>130</v>
      </c>
      <c r="N73" s="5" t="s">
        <v>342</v>
      </c>
      <c r="O73" s="5" t="s">
        <v>135</v>
      </c>
      <c r="P73" s="5" t="s">
        <v>373</v>
      </c>
    </row>
    <row r="74" spans="1:16" x14ac:dyDescent="0.2">
      <c r="A74" s="5">
        <v>2</v>
      </c>
      <c r="B74" s="5" t="s">
        <v>136</v>
      </c>
      <c r="C74" s="5" t="s">
        <v>144</v>
      </c>
      <c r="D74" s="5" t="s">
        <v>263</v>
      </c>
      <c r="E74" s="5">
        <v>1</v>
      </c>
      <c r="F74" s="5" t="s">
        <v>16</v>
      </c>
      <c r="G74" s="5" t="s">
        <v>35</v>
      </c>
      <c r="H74" s="5" t="s">
        <v>275</v>
      </c>
      <c r="I74" s="5" t="s">
        <v>281</v>
      </c>
      <c r="J74" s="6">
        <v>420</v>
      </c>
      <c r="K74" s="6">
        <f t="shared" si="3"/>
        <v>420</v>
      </c>
      <c r="L74" s="6" t="str">
        <f t="shared" si="4"/>
        <v>Costed Item</v>
      </c>
      <c r="M74" s="6">
        <f t="shared" si="5"/>
        <v>420</v>
      </c>
      <c r="N74" s="5" t="s">
        <v>343</v>
      </c>
      <c r="O74" s="5" t="s">
        <v>135</v>
      </c>
      <c r="P74" s="5" t="s">
        <v>372</v>
      </c>
    </row>
    <row r="75" spans="1:16" x14ac:dyDescent="0.2">
      <c r="A75" s="5">
        <v>2</v>
      </c>
      <c r="B75" s="5" t="s">
        <v>136</v>
      </c>
      <c r="C75" s="5" t="s">
        <v>145</v>
      </c>
      <c r="D75" s="5" t="s">
        <v>264</v>
      </c>
      <c r="E75" s="5">
        <v>8</v>
      </c>
      <c r="F75" s="5" t="s">
        <v>146</v>
      </c>
      <c r="G75" s="5" t="s">
        <v>41</v>
      </c>
      <c r="H75" s="5" t="s">
        <v>275</v>
      </c>
      <c r="I75" s="5" t="s">
        <v>290</v>
      </c>
      <c r="J75" s="6">
        <v>12</v>
      </c>
      <c r="K75" s="6">
        <f t="shared" si="3"/>
        <v>96</v>
      </c>
      <c r="L75" s="6" t="str">
        <f t="shared" si="4"/>
        <v>Costed Item</v>
      </c>
      <c r="M75" s="6">
        <f t="shared" si="5"/>
        <v>96</v>
      </c>
      <c r="N75" s="5" t="s">
        <v>344</v>
      </c>
      <c r="O75" s="5" t="s">
        <v>135</v>
      </c>
      <c r="P75" s="5" t="s">
        <v>374</v>
      </c>
    </row>
    <row r="76" spans="1:16" x14ac:dyDescent="0.2">
      <c r="A76" s="5">
        <v>2</v>
      </c>
      <c r="B76" s="5" t="s">
        <v>149</v>
      </c>
      <c r="C76" s="5" t="s">
        <v>150</v>
      </c>
      <c r="D76" s="5" t="s">
        <v>266</v>
      </c>
      <c r="E76" s="5">
        <v>2</v>
      </c>
      <c r="F76" s="5" t="s">
        <v>16</v>
      </c>
      <c r="G76" s="5" t="s">
        <v>151</v>
      </c>
      <c r="H76" s="5" t="s">
        <v>275</v>
      </c>
      <c r="I76" s="5" t="s">
        <v>288</v>
      </c>
      <c r="J76" s="6">
        <v>95</v>
      </c>
      <c r="K76" s="6">
        <f t="shared" si="3"/>
        <v>190</v>
      </c>
      <c r="L76" s="6" t="str">
        <f t="shared" si="4"/>
        <v>Costed Item</v>
      </c>
      <c r="M76" s="6">
        <f t="shared" si="5"/>
        <v>190</v>
      </c>
      <c r="N76" s="5" t="s">
        <v>345</v>
      </c>
      <c r="O76" s="5" t="s">
        <v>147</v>
      </c>
      <c r="P76" s="5" t="s">
        <v>372</v>
      </c>
    </row>
    <row r="77" spans="1:16" x14ac:dyDescent="0.2">
      <c r="A77" s="5">
        <v>2</v>
      </c>
      <c r="B77" s="5" t="s">
        <v>149</v>
      </c>
      <c r="C77" s="5" t="s">
        <v>152</v>
      </c>
      <c r="D77" s="5" t="s">
        <v>267</v>
      </c>
      <c r="E77" s="5">
        <v>2</v>
      </c>
      <c r="F77" s="5" t="s">
        <v>16</v>
      </c>
      <c r="G77" s="5" t="s">
        <v>151</v>
      </c>
      <c r="H77" s="5" t="s">
        <v>275</v>
      </c>
      <c r="I77" s="5" t="s">
        <v>288</v>
      </c>
      <c r="J77" s="6">
        <v>95</v>
      </c>
      <c r="K77" s="6">
        <f t="shared" si="3"/>
        <v>190</v>
      </c>
      <c r="L77" s="6" t="str">
        <f t="shared" si="4"/>
        <v>Costed Item</v>
      </c>
      <c r="M77" s="6">
        <f t="shared" si="5"/>
        <v>190</v>
      </c>
      <c r="N77" s="5" t="s">
        <v>346</v>
      </c>
      <c r="O77" s="5" t="s">
        <v>147</v>
      </c>
      <c r="P77" s="5" t="s">
        <v>372</v>
      </c>
    </row>
    <row r="78" spans="1:16" x14ac:dyDescent="0.2">
      <c r="A78" s="5">
        <v>2</v>
      </c>
      <c r="B78" s="5" t="s">
        <v>149</v>
      </c>
      <c r="C78" s="5" t="s">
        <v>153</v>
      </c>
      <c r="D78" s="5" t="s">
        <v>268</v>
      </c>
      <c r="E78" s="5">
        <v>4</v>
      </c>
      <c r="F78" s="5" t="s">
        <v>16</v>
      </c>
      <c r="G78" s="5" t="s">
        <v>151</v>
      </c>
      <c r="H78" s="5" t="s">
        <v>275</v>
      </c>
      <c r="I78" s="5" t="s">
        <v>288</v>
      </c>
      <c r="J78" s="6">
        <v>85</v>
      </c>
      <c r="K78" s="6">
        <f t="shared" si="3"/>
        <v>340</v>
      </c>
      <c r="L78" s="6" t="str">
        <f t="shared" si="4"/>
        <v>Costed Item</v>
      </c>
      <c r="M78" s="6">
        <f t="shared" si="5"/>
        <v>340</v>
      </c>
      <c r="N78" s="5" t="s">
        <v>347</v>
      </c>
      <c r="O78" s="5" t="s">
        <v>147</v>
      </c>
      <c r="P78" s="5" t="s">
        <v>372</v>
      </c>
    </row>
    <row r="79" spans="1:16" x14ac:dyDescent="0.2">
      <c r="A79" s="5">
        <v>2</v>
      </c>
      <c r="B79" s="5" t="s">
        <v>149</v>
      </c>
      <c r="C79" s="5" t="s">
        <v>154</v>
      </c>
      <c r="D79" s="5" t="s">
        <v>269</v>
      </c>
      <c r="E79" s="5">
        <v>4</v>
      </c>
      <c r="F79" s="5" t="s">
        <v>16</v>
      </c>
      <c r="G79" s="5" t="s">
        <v>151</v>
      </c>
      <c r="H79" s="5" t="s">
        <v>275</v>
      </c>
      <c r="I79" s="5" t="s">
        <v>280</v>
      </c>
      <c r="J79" s="6">
        <v>45</v>
      </c>
      <c r="K79" s="6">
        <f t="shared" si="3"/>
        <v>180</v>
      </c>
      <c r="L79" s="6" t="str">
        <f t="shared" si="4"/>
        <v>Costed Item</v>
      </c>
      <c r="M79" s="6">
        <f t="shared" si="5"/>
        <v>180</v>
      </c>
      <c r="N79" s="5" t="s">
        <v>347</v>
      </c>
      <c r="O79" s="5" t="s">
        <v>147</v>
      </c>
      <c r="P79" s="5" t="s">
        <v>373</v>
      </c>
    </row>
    <row r="80" spans="1:16" x14ac:dyDescent="0.2">
      <c r="A80" s="5">
        <v>2</v>
      </c>
      <c r="B80" s="5" t="s">
        <v>149</v>
      </c>
      <c r="C80" s="5" t="s">
        <v>155</v>
      </c>
      <c r="D80" s="5" t="s">
        <v>270</v>
      </c>
      <c r="E80" s="5">
        <v>2</v>
      </c>
      <c r="F80" s="5" t="s">
        <v>16</v>
      </c>
      <c r="G80" s="5" t="s">
        <v>151</v>
      </c>
      <c r="H80" s="5" t="s">
        <v>275</v>
      </c>
      <c r="I80" s="5" t="s">
        <v>280</v>
      </c>
      <c r="J80" s="6">
        <v>75</v>
      </c>
      <c r="K80" s="6">
        <f t="shared" si="3"/>
        <v>150</v>
      </c>
      <c r="L80" s="6" t="str">
        <f t="shared" si="4"/>
        <v>Costed Item</v>
      </c>
      <c r="M80" s="6">
        <f t="shared" si="5"/>
        <v>150</v>
      </c>
      <c r="N80" s="5" t="s">
        <v>347</v>
      </c>
      <c r="O80" s="5" t="s">
        <v>147</v>
      </c>
      <c r="P80" s="5" t="s">
        <v>373</v>
      </c>
    </row>
    <row r="81" spans="1:16" x14ac:dyDescent="0.2">
      <c r="A81" s="5">
        <v>2</v>
      </c>
      <c r="B81" s="5" t="s">
        <v>149</v>
      </c>
      <c r="C81" s="5" t="s">
        <v>156</v>
      </c>
      <c r="D81" s="5" t="s">
        <v>271</v>
      </c>
      <c r="E81" s="5">
        <v>4</v>
      </c>
      <c r="F81" s="5" t="s">
        <v>16</v>
      </c>
      <c r="G81" s="5" t="s">
        <v>157</v>
      </c>
      <c r="H81" s="5" t="s">
        <v>275</v>
      </c>
      <c r="I81" s="5" t="s">
        <v>280</v>
      </c>
      <c r="J81" s="6">
        <v>90</v>
      </c>
      <c r="K81" s="6">
        <f t="shared" si="3"/>
        <v>360</v>
      </c>
      <c r="L81" s="6" t="str">
        <f t="shared" si="4"/>
        <v>Costed Item</v>
      </c>
      <c r="M81" s="6">
        <f t="shared" si="5"/>
        <v>360</v>
      </c>
      <c r="N81" s="5" t="s">
        <v>348</v>
      </c>
      <c r="O81" s="5" t="s">
        <v>147</v>
      </c>
      <c r="P81" s="5" t="s">
        <v>372</v>
      </c>
    </row>
    <row r="82" spans="1:16" x14ac:dyDescent="0.2">
      <c r="A82" s="5">
        <v>2</v>
      </c>
      <c r="B82" s="5" t="s">
        <v>149</v>
      </c>
      <c r="C82" s="5" t="s">
        <v>158</v>
      </c>
      <c r="D82" s="5" t="s">
        <v>272</v>
      </c>
      <c r="E82" s="5">
        <v>4</v>
      </c>
      <c r="F82" s="5" t="s">
        <v>16</v>
      </c>
      <c r="G82" s="5" t="s">
        <v>157</v>
      </c>
      <c r="H82" s="5" t="s">
        <v>275</v>
      </c>
      <c r="I82" s="5" t="s">
        <v>288</v>
      </c>
      <c r="J82" s="6">
        <v>55</v>
      </c>
      <c r="K82" s="6">
        <f t="shared" si="3"/>
        <v>220</v>
      </c>
      <c r="L82" s="6" t="str">
        <f t="shared" si="4"/>
        <v>Costed Item</v>
      </c>
      <c r="M82" s="6">
        <f t="shared" si="5"/>
        <v>220</v>
      </c>
      <c r="N82" s="5" t="s">
        <v>348</v>
      </c>
      <c r="O82" s="5" t="s">
        <v>147</v>
      </c>
      <c r="P82" s="5" t="s">
        <v>372</v>
      </c>
    </row>
    <row r="83" spans="1:16" x14ac:dyDescent="0.2">
      <c r="A83" s="5">
        <v>2</v>
      </c>
      <c r="B83" s="5" t="s">
        <v>149</v>
      </c>
      <c r="C83" s="5" t="s">
        <v>159</v>
      </c>
      <c r="D83" s="5" t="s">
        <v>273</v>
      </c>
      <c r="E83" s="5">
        <v>4</v>
      </c>
      <c r="F83" s="5" t="s">
        <v>16</v>
      </c>
      <c r="G83" s="5" t="s">
        <v>160</v>
      </c>
      <c r="H83" s="5" t="s">
        <v>275</v>
      </c>
      <c r="I83" s="5" t="s">
        <v>280</v>
      </c>
      <c r="J83" s="6">
        <v>280</v>
      </c>
      <c r="K83" s="6">
        <f t="shared" si="3"/>
        <v>1120</v>
      </c>
      <c r="L83" s="6" t="str">
        <f t="shared" si="4"/>
        <v>Costed Item</v>
      </c>
      <c r="M83" s="6">
        <f t="shared" si="5"/>
        <v>1120</v>
      </c>
      <c r="N83" s="5" t="s">
        <v>349</v>
      </c>
      <c r="O83" s="5" t="s">
        <v>147</v>
      </c>
      <c r="P83" s="5" t="s">
        <v>371</v>
      </c>
    </row>
    <row r="84" spans="1:16" x14ac:dyDescent="0.2">
      <c r="A84" s="5">
        <v>3</v>
      </c>
      <c r="B84" s="5" t="s">
        <v>19</v>
      </c>
      <c r="C84" s="5" t="s">
        <v>21</v>
      </c>
      <c r="D84" s="5" t="s">
        <v>169</v>
      </c>
      <c r="E84" s="8">
        <v>4416</v>
      </c>
      <c r="F84" s="5" t="s">
        <v>22</v>
      </c>
      <c r="G84" s="5" t="s">
        <v>13</v>
      </c>
      <c r="H84" s="5" t="s">
        <v>275</v>
      </c>
      <c r="I84" s="5" t="s">
        <v>282</v>
      </c>
      <c r="J84" s="6">
        <v>1.45</v>
      </c>
      <c r="K84" s="6">
        <f t="shared" si="3"/>
        <v>6403.2</v>
      </c>
      <c r="L84" s="6" t="str">
        <f t="shared" si="4"/>
        <v>Costed Item</v>
      </c>
      <c r="M84" s="6">
        <f t="shared" si="5"/>
        <v>6403.2</v>
      </c>
      <c r="N84" s="5" t="s">
        <v>350</v>
      </c>
      <c r="O84" s="5" t="s">
        <v>14</v>
      </c>
      <c r="P84" s="5" t="s">
        <v>371</v>
      </c>
    </row>
    <row r="85" spans="1:16" x14ac:dyDescent="0.2">
      <c r="A85" s="5">
        <v>3</v>
      </c>
      <c r="B85" s="5" t="s">
        <v>19</v>
      </c>
      <c r="C85" s="5" t="s">
        <v>23</v>
      </c>
      <c r="D85" s="5" t="s">
        <v>170</v>
      </c>
      <c r="E85" s="5">
        <v>4</v>
      </c>
      <c r="F85" s="5" t="s">
        <v>24</v>
      </c>
      <c r="G85" s="5" t="s">
        <v>25</v>
      </c>
      <c r="H85" s="5" t="s">
        <v>275</v>
      </c>
      <c r="I85" s="5" t="s">
        <v>283</v>
      </c>
      <c r="J85" s="6">
        <v>28</v>
      </c>
      <c r="K85" s="6">
        <f t="shared" si="3"/>
        <v>112</v>
      </c>
      <c r="L85" s="6" t="str">
        <f t="shared" si="4"/>
        <v>Costed Item</v>
      </c>
      <c r="M85" s="6">
        <f t="shared" si="5"/>
        <v>112</v>
      </c>
      <c r="N85" s="5" t="s">
        <v>308</v>
      </c>
      <c r="O85" s="5" t="s">
        <v>14</v>
      </c>
      <c r="P85" s="5" t="s">
        <v>373</v>
      </c>
    </row>
    <row r="86" spans="1:16" x14ac:dyDescent="0.2">
      <c r="A86" s="5">
        <v>3</v>
      </c>
      <c r="B86" s="5" t="s">
        <v>19</v>
      </c>
      <c r="C86" s="5" t="s">
        <v>26</v>
      </c>
      <c r="D86" s="5" t="s">
        <v>171</v>
      </c>
      <c r="E86" s="5">
        <v>8</v>
      </c>
      <c r="F86" s="5" t="s">
        <v>16</v>
      </c>
      <c r="G86" s="5" t="s">
        <v>17</v>
      </c>
      <c r="H86" s="5" t="s">
        <v>275</v>
      </c>
      <c r="I86" s="5" t="s">
        <v>280</v>
      </c>
      <c r="J86" s="6">
        <v>42</v>
      </c>
      <c r="K86" s="6">
        <f t="shared" si="3"/>
        <v>336</v>
      </c>
      <c r="L86" s="6" t="str">
        <f t="shared" si="4"/>
        <v>Costed Item</v>
      </c>
      <c r="M86" s="6">
        <f t="shared" si="5"/>
        <v>336</v>
      </c>
      <c r="N86" s="5" t="s">
        <v>351</v>
      </c>
      <c r="O86" s="5" t="s">
        <v>14</v>
      </c>
      <c r="P86" s="5" t="s">
        <v>373</v>
      </c>
    </row>
    <row r="87" spans="1:16" x14ac:dyDescent="0.2">
      <c r="A87" s="5">
        <v>3</v>
      </c>
      <c r="B87" s="5" t="s">
        <v>19</v>
      </c>
      <c r="C87" s="5" t="s">
        <v>27</v>
      </c>
      <c r="D87" s="5" t="s">
        <v>172</v>
      </c>
      <c r="E87" s="5">
        <v>8</v>
      </c>
      <c r="F87" s="5" t="s">
        <v>16</v>
      </c>
      <c r="G87" s="5" t="s">
        <v>17</v>
      </c>
      <c r="H87" s="5" t="s">
        <v>275</v>
      </c>
      <c r="I87" s="5" t="s">
        <v>280</v>
      </c>
      <c r="J87" s="6">
        <v>38</v>
      </c>
      <c r="K87" s="6">
        <f t="shared" si="3"/>
        <v>304</v>
      </c>
      <c r="L87" s="6" t="str">
        <f t="shared" si="4"/>
        <v>Costed Item</v>
      </c>
      <c r="M87" s="6">
        <f t="shared" si="5"/>
        <v>304</v>
      </c>
      <c r="N87" s="5" t="s">
        <v>351</v>
      </c>
      <c r="O87" s="5" t="s">
        <v>14</v>
      </c>
      <c r="P87" s="5" t="s">
        <v>373</v>
      </c>
    </row>
    <row r="88" spans="1:16" x14ac:dyDescent="0.2">
      <c r="A88" s="5">
        <v>3</v>
      </c>
      <c r="B88" s="5" t="s">
        <v>19</v>
      </c>
      <c r="C88" s="5" t="s">
        <v>28</v>
      </c>
      <c r="D88" s="5" t="s">
        <v>173</v>
      </c>
      <c r="E88" s="5">
        <v>16</v>
      </c>
      <c r="F88" s="5" t="s">
        <v>16</v>
      </c>
      <c r="G88" s="5" t="s">
        <v>29</v>
      </c>
      <c r="H88" s="5" t="s">
        <v>275</v>
      </c>
      <c r="I88" s="5" t="s">
        <v>280</v>
      </c>
      <c r="J88" s="6">
        <v>22</v>
      </c>
      <c r="K88" s="6">
        <f t="shared" si="3"/>
        <v>352</v>
      </c>
      <c r="L88" s="6" t="str">
        <f t="shared" si="4"/>
        <v>Costed Item</v>
      </c>
      <c r="M88" s="6">
        <f t="shared" si="5"/>
        <v>352</v>
      </c>
      <c r="N88" s="5" t="s">
        <v>352</v>
      </c>
      <c r="O88" s="5" t="s">
        <v>14</v>
      </c>
      <c r="P88" s="5" t="s">
        <v>372</v>
      </c>
    </row>
    <row r="89" spans="1:16" x14ac:dyDescent="0.2">
      <c r="A89" s="5">
        <v>3</v>
      </c>
      <c r="B89" s="5" t="s">
        <v>19</v>
      </c>
      <c r="C89" s="5" t="s">
        <v>30</v>
      </c>
      <c r="D89" s="5" t="s">
        <v>174</v>
      </c>
      <c r="E89" s="8">
        <v>4416</v>
      </c>
      <c r="F89" s="5" t="s">
        <v>31</v>
      </c>
      <c r="G89" s="5" t="s">
        <v>29</v>
      </c>
      <c r="H89" s="5" t="s">
        <v>275</v>
      </c>
      <c r="I89" s="5" t="s">
        <v>281</v>
      </c>
      <c r="J89" s="6">
        <v>0.18</v>
      </c>
      <c r="K89" s="6">
        <f t="shared" si="3"/>
        <v>794.88</v>
      </c>
      <c r="L89" s="6" t="str">
        <f t="shared" si="4"/>
        <v>Costed Item</v>
      </c>
      <c r="M89" s="6">
        <f t="shared" si="5"/>
        <v>794.88</v>
      </c>
      <c r="N89" s="5" t="s">
        <v>352</v>
      </c>
      <c r="O89" s="5" t="s">
        <v>14</v>
      </c>
      <c r="P89" s="5" t="s">
        <v>373</v>
      </c>
    </row>
    <row r="90" spans="1:16" x14ac:dyDescent="0.2">
      <c r="A90" s="5">
        <v>3</v>
      </c>
      <c r="B90" s="5" t="s">
        <v>19</v>
      </c>
      <c r="C90" s="5" t="s">
        <v>32</v>
      </c>
      <c r="D90" s="5" t="s">
        <v>175</v>
      </c>
      <c r="E90" s="5">
        <v>24</v>
      </c>
      <c r="F90" s="5" t="s">
        <v>16</v>
      </c>
      <c r="G90" s="5" t="s">
        <v>29</v>
      </c>
      <c r="H90" s="5" t="s">
        <v>275</v>
      </c>
      <c r="I90" s="5" t="s">
        <v>281</v>
      </c>
      <c r="J90" s="6">
        <v>18</v>
      </c>
      <c r="K90" s="6">
        <f t="shared" si="3"/>
        <v>432</v>
      </c>
      <c r="L90" s="6" t="str">
        <f t="shared" si="4"/>
        <v>Costed Item</v>
      </c>
      <c r="M90" s="6">
        <f t="shared" si="5"/>
        <v>432</v>
      </c>
      <c r="N90" s="5" t="s">
        <v>352</v>
      </c>
      <c r="O90" s="5" t="s">
        <v>14</v>
      </c>
      <c r="P90" s="5" t="s">
        <v>371</v>
      </c>
    </row>
    <row r="91" spans="1:16" x14ac:dyDescent="0.2">
      <c r="A91" s="5">
        <v>3</v>
      </c>
      <c r="B91" s="5" t="s">
        <v>19</v>
      </c>
      <c r="C91" s="5" t="s">
        <v>33</v>
      </c>
      <c r="D91" s="5" t="s">
        <v>176</v>
      </c>
      <c r="E91" s="5">
        <v>16</v>
      </c>
      <c r="F91" s="5" t="s">
        <v>16</v>
      </c>
      <c r="G91" s="5" t="s">
        <v>29</v>
      </c>
      <c r="H91" s="5" t="s">
        <v>275</v>
      </c>
      <c r="I91" s="5" t="s">
        <v>284</v>
      </c>
      <c r="J91" s="6">
        <v>12</v>
      </c>
      <c r="K91" s="6">
        <f t="shared" si="3"/>
        <v>192</v>
      </c>
      <c r="L91" s="6" t="str">
        <f t="shared" si="4"/>
        <v>Costed Item</v>
      </c>
      <c r="M91" s="6">
        <f t="shared" si="5"/>
        <v>192</v>
      </c>
      <c r="N91" s="5" t="s">
        <v>352</v>
      </c>
      <c r="O91" s="5" t="s">
        <v>14</v>
      </c>
      <c r="P91" s="5" t="s">
        <v>372</v>
      </c>
    </row>
    <row r="92" spans="1:16" x14ac:dyDescent="0.2">
      <c r="A92" s="5">
        <v>3</v>
      </c>
      <c r="B92" s="5" t="s">
        <v>19</v>
      </c>
      <c r="C92" s="5" t="s">
        <v>34</v>
      </c>
      <c r="D92" s="5" t="s">
        <v>177</v>
      </c>
      <c r="E92" s="5">
        <v>4</v>
      </c>
      <c r="F92" s="5" t="s">
        <v>24</v>
      </c>
      <c r="G92" s="5" t="s">
        <v>35</v>
      </c>
      <c r="H92" s="5" t="s">
        <v>275</v>
      </c>
      <c r="I92" s="5" t="s">
        <v>283</v>
      </c>
      <c r="J92" s="6">
        <v>65</v>
      </c>
      <c r="K92" s="6">
        <f t="shared" si="3"/>
        <v>260</v>
      </c>
      <c r="L92" s="6" t="str">
        <f t="shared" si="4"/>
        <v>Costed Item</v>
      </c>
      <c r="M92" s="6">
        <f t="shared" si="5"/>
        <v>260</v>
      </c>
      <c r="N92" s="5" t="s">
        <v>353</v>
      </c>
      <c r="O92" s="5" t="s">
        <v>14</v>
      </c>
      <c r="P92" s="5" t="s">
        <v>372</v>
      </c>
    </row>
    <row r="93" spans="1:16" x14ac:dyDescent="0.2">
      <c r="A93" s="5">
        <v>3</v>
      </c>
      <c r="B93" s="5" t="s">
        <v>19</v>
      </c>
      <c r="C93" s="5" t="s">
        <v>36</v>
      </c>
      <c r="D93" s="5" t="s">
        <v>178</v>
      </c>
      <c r="E93" s="5">
        <v>12</v>
      </c>
      <c r="F93" s="5" t="s">
        <v>37</v>
      </c>
      <c r="G93" s="5" t="s">
        <v>38</v>
      </c>
      <c r="H93" s="5" t="s">
        <v>275</v>
      </c>
      <c r="I93" s="5" t="s">
        <v>285</v>
      </c>
      <c r="J93" s="6">
        <v>8</v>
      </c>
      <c r="K93" s="6">
        <f t="shared" si="3"/>
        <v>96</v>
      </c>
      <c r="L93" s="6" t="str">
        <f t="shared" si="4"/>
        <v>Costed Item</v>
      </c>
      <c r="M93" s="6">
        <f t="shared" si="5"/>
        <v>96</v>
      </c>
      <c r="N93" s="5" t="s">
        <v>354</v>
      </c>
      <c r="O93" s="5" t="s">
        <v>14</v>
      </c>
      <c r="P93" s="5" t="s">
        <v>372</v>
      </c>
    </row>
    <row r="94" spans="1:16" x14ac:dyDescent="0.2">
      <c r="A94" s="5">
        <v>3</v>
      </c>
      <c r="B94" s="5" t="s">
        <v>19</v>
      </c>
      <c r="C94" s="5" t="s">
        <v>39</v>
      </c>
      <c r="D94" s="5" t="s">
        <v>179</v>
      </c>
      <c r="E94" s="5">
        <v>1</v>
      </c>
      <c r="F94" s="5" t="s">
        <v>40</v>
      </c>
      <c r="G94" s="5" t="s">
        <v>41</v>
      </c>
      <c r="H94" s="5" t="s">
        <v>275</v>
      </c>
      <c r="I94" s="5" t="s">
        <v>286</v>
      </c>
      <c r="J94" s="6">
        <v>18</v>
      </c>
      <c r="K94" s="6">
        <f t="shared" si="3"/>
        <v>18</v>
      </c>
      <c r="L94" s="6" t="str">
        <f t="shared" si="4"/>
        <v>Costed Item</v>
      </c>
      <c r="M94" s="6">
        <f t="shared" si="5"/>
        <v>18</v>
      </c>
      <c r="N94" s="5" t="s">
        <v>355</v>
      </c>
      <c r="O94" s="5" t="s">
        <v>14</v>
      </c>
      <c r="P94" s="5" t="s">
        <v>373</v>
      </c>
    </row>
    <row r="95" spans="1:16" x14ac:dyDescent="0.2">
      <c r="A95" s="5">
        <v>3</v>
      </c>
      <c r="B95" s="5" t="s">
        <v>66</v>
      </c>
      <c r="C95" s="5" t="s">
        <v>67</v>
      </c>
      <c r="D95" s="5" t="s">
        <v>197</v>
      </c>
      <c r="E95" s="5">
        <v>1</v>
      </c>
      <c r="F95" s="5" t="s">
        <v>16</v>
      </c>
      <c r="G95" s="5" t="s">
        <v>68</v>
      </c>
      <c r="H95" s="5" t="s">
        <v>275</v>
      </c>
      <c r="I95" s="5" t="s">
        <v>287</v>
      </c>
      <c r="J95" s="6">
        <v>280</v>
      </c>
      <c r="K95" s="6">
        <f t="shared" si="3"/>
        <v>280</v>
      </c>
      <c r="L95" s="6" t="str">
        <f t="shared" si="4"/>
        <v>Costed Item</v>
      </c>
      <c r="M95" s="6">
        <f t="shared" si="5"/>
        <v>280</v>
      </c>
      <c r="N95" s="5" t="s">
        <v>356</v>
      </c>
      <c r="O95" s="5" t="s">
        <v>64</v>
      </c>
      <c r="P95" s="5" t="s">
        <v>371</v>
      </c>
    </row>
    <row r="96" spans="1:16" x14ac:dyDescent="0.2">
      <c r="A96" s="5">
        <v>3</v>
      </c>
      <c r="B96" s="5" t="s">
        <v>66</v>
      </c>
      <c r="C96" s="5" t="s">
        <v>69</v>
      </c>
      <c r="D96" s="5" t="s">
        <v>198</v>
      </c>
      <c r="E96" s="5">
        <v>1</v>
      </c>
      <c r="F96" s="5" t="s">
        <v>16</v>
      </c>
      <c r="G96" s="5" t="s">
        <v>68</v>
      </c>
      <c r="H96" s="5" t="s">
        <v>275</v>
      </c>
      <c r="I96" s="5" t="s">
        <v>287</v>
      </c>
      <c r="J96" s="6">
        <v>320</v>
      </c>
      <c r="K96" s="6">
        <f t="shared" si="3"/>
        <v>320</v>
      </c>
      <c r="L96" s="6" t="str">
        <f t="shared" si="4"/>
        <v>Costed Item</v>
      </c>
      <c r="M96" s="6">
        <f t="shared" si="5"/>
        <v>320</v>
      </c>
      <c r="N96" s="5" t="s">
        <v>357</v>
      </c>
      <c r="O96" s="5" t="s">
        <v>64</v>
      </c>
      <c r="P96" s="5" t="s">
        <v>371</v>
      </c>
    </row>
    <row r="97" spans="1:16" x14ac:dyDescent="0.2">
      <c r="A97" s="5">
        <v>3</v>
      </c>
      <c r="B97" s="5" t="s">
        <v>66</v>
      </c>
      <c r="C97" s="5" t="s">
        <v>70</v>
      </c>
      <c r="D97" s="5" t="s">
        <v>199</v>
      </c>
      <c r="E97" s="5">
        <v>1</v>
      </c>
      <c r="F97" s="5" t="s">
        <v>45</v>
      </c>
      <c r="G97" s="5" t="s">
        <v>68</v>
      </c>
      <c r="H97" s="5" t="s">
        <v>275</v>
      </c>
      <c r="I97" s="5" t="s">
        <v>281</v>
      </c>
      <c r="J97" s="6">
        <v>210</v>
      </c>
      <c r="K97" s="6">
        <f t="shared" si="3"/>
        <v>210</v>
      </c>
      <c r="L97" s="6" t="str">
        <f t="shared" si="4"/>
        <v>Costed Item</v>
      </c>
      <c r="M97" s="6">
        <f t="shared" si="5"/>
        <v>210</v>
      </c>
      <c r="N97" s="5" t="s">
        <v>358</v>
      </c>
      <c r="O97" s="5" t="s">
        <v>64</v>
      </c>
      <c r="P97" s="5" t="s">
        <v>372</v>
      </c>
    </row>
    <row r="98" spans="1:16" x14ac:dyDescent="0.2">
      <c r="A98" s="5">
        <v>3</v>
      </c>
      <c r="B98" s="5" t="s">
        <v>66</v>
      </c>
      <c r="C98" s="5" t="s">
        <v>71</v>
      </c>
      <c r="D98" s="5" t="s">
        <v>200</v>
      </c>
      <c r="E98" s="5">
        <v>1</v>
      </c>
      <c r="F98" s="5" t="s">
        <v>45</v>
      </c>
      <c r="G98" s="5" t="s">
        <v>68</v>
      </c>
      <c r="H98" s="5" t="s">
        <v>275</v>
      </c>
      <c r="I98" s="5" t="s">
        <v>287</v>
      </c>
      <c r="J98" s="6">
        <v>180</v>
      </c>
      <c r="K98" s="6">
        <f t="shared" si="3"/>
        <v>180</v>
      </c>
      <c r="L98" s="6" t="str">
        <f t="shared" si="4"/>
        <v>Costed Item</v>
      </c>
      <c r="M98" s="6">
        <f t="shared" si="5"/>
        <v>180</v>
      </c>
      <c r="N98" s="5" t="s">
        <v>359</v>
      </c>
      <c r="O98" s="5" t="s">
        <v>64</v>
      </c>
      <c r="P98" s="5" t="s">
        <v>371</v>
      </c>
    </row>
    <row r="99" spans="1:16" x14ac:dyDescent="0.2">
      <c r="A99" s="5">
        <v>3</v>
      </c>
      <c r="B99" s="5" t="s">
        <v>66</v>
      </c>
      <c r="C99" s="5" t="s">
        <v>72</v>
      </c>
      <c r="D99" s="5" t="s">
        <v>201</v>
      </c>
      <c r="E99" s="5">
        <v>1</v>
      </c>
      <c r="F99" s="5" t="s">
        <v>16</v>
      </c>
      <c r="G99" s="5" t="s">
        <v>17</v>
      </c>
      <c r="H99" s="5" t="s">
        <v>275</v>
      </c>
      <c r="I99" s="5" t="s">
        <v>282</v>
      </c>
      <c r="J99" s="6">
        <v>260</v>
      </c>
      <c r="K99" s="6">
        <f t="shared" si="3"/>
        <v>260</v>
      </c>
      <c r="L99" s="6" t="str">
        <f t="shared" si="4"/>
        <v>Costed Item</v>
      </c>
      <c r="M99" s="6">
        <f t="shared" si="5"/>
        <v>260</v>
      </c>
      <c r="N99" s="5" t="s">
        <v>360</v>
      </c>
      <c r="O99" s="5" t="s">
        <v>64</v>
      </c>
      <c r="P99" s="5" t="s">
        <v>372</v>
      </c>
    </row>
    <row r="100" spans="1:16" x14ac:dyDescent="0.2">
      <c r="A100" s="5">
        <v>3</v>
      </c>
      <c r="B100" s="5" t="s">
        <v>66</v>
      </c>
      <c r="C100" s="5" t="s">
        <v>73</v>
      </c>
      <c r="D100" s="5" t="s">
        <v>202</v>
      </c>
      <c r="E100" s="5">
        <v>2</v>
      </c>
      <c r="F100" s="5" t="s">
        <v>16</v>
      </c>
      <c r="G100" s="5" t="s">
        <v>61</v>
      </c>
      <c r="H100" s="5" t="s">
        <v>275</v>
      </c>
      <c r="I100" s="5" t="s">
        <v>281</v>
      </c>
      <c r="J100" s="6">
        <v>28</v>
      </c>
      <c r="K100" s="6">
        <f t="shared" si="3"/>
        <v>56</v>
      </c>
      <c r="L100" s="6" t="str">
        <f t="shared" si="4"/>
        <v>Costed Item</v>
      </c>
      <c r="M100" s="6">
        <f t="shared" si="5"/>
        <v>56</v>
      </c>
      <c r="N100" s="5" t="s">
        <v>361</v>
      </c>
      <c r="O100" s="5" t="s">
        <v>64</v>
      </c>
      <c r="P100" s="5" t="s">
        <v>373</v>
      </c>
    </row>
    <row r="101" spans="1:16" x14ac:dyDescent="0.2">
      <c r="A101" s="5">
        <v>3</v>
      </c>
      <c r="B101" s="5" t="s">
        <v>66</v>
      </c>
      <c r="C101" s="5" t="s">
        <v>74</v>
      </c>
      <c r="D101" s="5" t="s">
        <v>203</v>
      </c>
      <c r="E101" s="5">
        <v>1</v>
      </c>
      <c r="F101" s="5" t="s">
        <v>16</v>
      </c>
      <c r="G101" s="5" t="s">
        <v>61</v>
      </c>
      <c r="H101" s="5" t="s">
        <v>275</v>
      </c>
      <c r="I101" s="5" t="s">
        <v>280</v>
      </c>
      <c r="J101" s="6">
        <v>45</v>
      </c>
      <c r="K101" s="6">
        <f t="shared" si="3"/>
        <v>45</v>
      </c>
      <c r="L101" s="6" t="str">
        <f t="shared" si="4"/>
        <v>Costed Item</v>
      </c>
      <c r="M101" s="6">
        <f t="shared" si="5"/>
        <v>45</v>
      </c>
      <c r="N101" s="5" t="s">
        <v>362</v>
      </c>
      <c r="O101" s="5" t="s">
        <v>64</v>
      </c>
      <c r="P101" s="5" t="s">
        <v>372</v>
      </c>
    </row>
    <row r="102" spans="1:16" x14ac:dyDescent="0.2">
      <c r="A102" s="5">
        <v>3</v>
      </c>
      <c r="B102" s="5" t="s">
        <v>66</v>
      </c>
      <c r="C102" s="5" t="s">
        <v>75</v>
      </c>
      <c r="D102" s="5" t="s">
        <v>204</v>
      </c>
      <c r="E102" s="5">
        <v>1</v>
      </c>
      <c r="F102" s="5" t="s">
        <v>16</v>
      </c>
      <c r="G102" s="5" t="s">
        <v>0</v>
      </c>
      <c r="H102" s="5" t="s">
        <v>275</v>
      </c>
      <c r="I102" s="5" t="s">
        <v>288</v>
      </c>
      <c r="J102" s="6">
        <v>65</v>
      </c>
      <c r="K102" s="6">
        <f t="shared" si="3"/>
        <v>65</v>
      </c>
      <c r="L102" s="6" t="str">
        <f t="shared" si="4"/>
        <v>Costed Item</v>
      </c>
      <c r="M102" s="6">
        <f t="shared" si="5"/>
        <v>65</v>
      </c>
      <c r="N102" s="5" t="s">
        <v>363</v>
      </c>
      <c r="O102" s="5" t="s">
        <v>64</v>
      </c>
      <c r="P102" s="5" t="s">
        <v>372</v>
      </c>
    </row>
    <row r="103" spans="1:16" x14ac:dyDescent="0.2">
      <c r="A103" s="5">
        <v>3</v>
      </c>
      <c r="B103" s="5" t="s">
        <v>76</v>
      </c>
      <c r="C103" s="5" t="s">
        <v>78</v>
      </c>
      <c r="D103" s="5" t="s">
        <v>206</v>
      </c>
      <c r="E103" s="5">
        <v>1</v>
      </c>
      <c r="F103" s="5" t="s">
        <v>16</v>
      </c>
      <c r="G103" s="5" t="s">
        <v>0</v>
      </c>
      <c r="H103" s="5" t="s">
        <v>275</v>
      </c>
      <c r="I103" s="5" t="s">
        <v>292</v>
      </c>
      <c r="J103" s="6">
        <v>380</v>
      </c>
      <c r="K103" s="6">
        <f t="shared" si="3"/>
        <v>380</v>
      </c>
      <c r="L103" s="6" t="str">
        <f t="shared" si="4"/>
        <v>Costed Item</v>
      </c>
      <c r="M103" s="6">
        <f t="shared" si="5"/>
        <v>380</v>
      </c>
      <c r="N103" s="5" t="s">
        <v>364</v>
      </c>
      <c r="O103" s="5" t="s">
        <v>64</v>
      </c>
      <c r="P103" s="5" t="s">
        <v>371</v>
      </c>
    </row>
    <row r="104" spans="1:16" x14ac:dyDescent="0.2">
      <c r="A104" s="5">
        <v>3</v>
      </c>
      <c r="B104" s="5" t="s">
        <v>76</v>
      </c>
      <c r="C104" s="5" t="s">
        <v>79</v>
      </c>
      <c r="D104" s="5" t="s">
        <v>207</v>
      </c>
      <c r="E104" s="5">
        <v>1</v>
      </c>
      <c r="F104" s="5" t="s">
        <v>16</v>
      </c>
      <c r="G104" s="5" t="s">
        <v>0</v>
      </c>
      <c r="H104" s="5" t="s">
        <v>275</v>
      </c>
      <c r="I104" s="5" t="s">
        <v>287</v>
      </c>
      <c r="J104" s="6">
        <v>120</v>
      </c>
      <c r="K104" s="6">
        <f t="shared" si="3"/>
        <v>120</v>
      </c>
      <c r="L104" s="6" t="str">
        <f t="shared" si="4"/>
        <v>Costed Item</v>
      </c>
      <c r="M104" s="6">
        <f t="shared" si="5"/>
        <v>120</v>
      </c>
      <c r="N104" s="5" t="s">
        <v>365</v>
      </c>
      <c r="O104" s="5" t="s">
        <v>64</v>
      </c>
      <c r="P104" s="5" t="s">
        <v>371</v>
      </c>
    </row>
    <row r="105" spans="1:16" x14ac:dyDescent="0.2">
      <c r="A105" s="5">
        <v>3</v>
      </c>
      <c r="B105" s="5" t="s">
        <v>76</v>
      </c>
      <c r="C105" s="5" t="s">
        <v>80</v>
      </c>
      <c r="D105" s="5" t="s">
        <v>208</v>
      </c>
      <c r="E105" s="5">
        <v>1</v>
      </c>
      <c r="F105" s="5" t="s">
        <v>16</v>
      </c>
      <c r="G105" s="5" t="s">
        <v>0</v>
      </c>
      <c r="H105" s="5" t="s">
        <v>275</v>
      </c>
      <c r="I105" s="5" t="s">
        <v>281</v>
      </c>
      <c r="J105" s="6">
        <v>95</v>
      </c>
      <c r="K105" s="6">
        <f t="shared" si="3"/>
        <v>95</v>
      </c>
      <c r="L105" s="6" t="str">
        <f t="shared" si="4"/>
        <v>Costed Item</v>
      </c>
      <c r="M105" s="6">
        <f t="shared" si="5"/>
        <v>95</v>
      </c>
      <c r="N105" s="5" t="s">
        <v>366</v>
      </c>
      <c r="O105" s="5" t="s">
        <v>64</v>
      </c>
      <c r="P105" s="5" t="s">
        <v>372</v>
      </c>
    </row>
    <row r="106" spans="1:16" x14ac:dyDescent="0.2">
      <c r="A106" s="5">
        <v>3</v>
      </c>
      <c r="B106" s="5" t="s">
        <v>76</v>
      </c>
      <c r="C106" s="5" t="s">
        <v>81</v>
      </c>
      <c r="D106" s="5" t="s">
        <v>209</v>
      </c>
      <c r="E106" s="5">
        <v>1</v>
      </c>
      <c r="F106" s="5" t="s">
        <v>16</v>
      </c>
      <c r="G106" s="5" t="s">
        <v>35</v>
      </c>
      <c r="H106" s="5" t="s">
        <v>275</v>
      </c>
      <c r="I106" s="5" t="s">
        <v>288</v>
      </c>
      <c r="J106" s="6">
        <v>85</v>
      </c>
      <c r="K106" s="6">
        <f t="shared" si="3"/>
        <v>85</v>
      </c>
      <c r="L106" s="6" t="str">
        <f t="shared" si="4"/>
        <v>Costed Item</v>
      </c>
      <c r="M106" s="6">
        <f t="shared" si="5"/>
        <v>85</v>
      </c>
      <c r="N106" s="5" t="s">
        <v>367</v>
      </c>
      <c r="O106" s="5" t="s">
        <v>64</v>
      </c>
      <c r="P106" s="5" t="s">
        <v>372</v>
      </c>
    </row>
    <row r="107" spans="1:16" x14ac:dyDescent="0.2">
      <c r="A107" s="5">
        <v>3</v>
      </c>
      <c r="B107" s="5" t="s">
        <v>76</v>
      </c>
      <c r="C107" s="5" t="s">
        <v>82</v>
      </c>
      <c r="D107" s="5" t="s">
        <v>210</v>
      </c>
      <c r="E107" s="5">
        <v>1</v>
      </c>
      <c r="F107" s="5" t="s">
        <v>16</v>
      </c>
      <c r="G107" s="5" t="s">
        <v>17</v>
      </c>
      <c r="H107" s="5" t="s">
        <v>275</v>
      </c>
      <c r="I107" s="5" t="s">
        <v>288</v>
      </c>
      <c r="J107" s="6">
        <v>140</v>
      </c>
      <c r="K107" s="6">
        <f t="shared" si="3"/>
        <v>140</v>
      </c>
      <c r="L107" s="6" t="str">
        <f t="shared" si="4"/>
        <v>Costed Item</v>
      </c>
      <c r="M107" s="6">
        <f t="shared" si="5"/>
        <v>140</v>
      </c>
      <c r="N107" s="5" t="s">
        <v>368</v>
      </c>
      <c r="O107" s="5" t="s">
        <v>64</v>
      </c>
      <c r="P107" s="5" t="s">
        <v>372</v>
      </c>
    </row>
    <row r="108" spans="1:16" x14ac:dyDescent="0.2">
      <c r="A108" s="5">
        <v>3</v>
      </c>
      <c r="B108" s="5" t="s">
        <v>85</v>
      </c>
      <c r="C108" s="5" t="s">
        <v>86</v>
      </c>
      <c r="D108" s="5" t="s">
        <v>212</v>
      </c>
      <c r="E108" s="5">
        <v>1</v>
      </c>
      <c r="F108" s="5" t="s">
        <v>45</v>
      </c>
      <c r="G108" s="5" t="s">
        <v>84</v>
      </c>
      <c r="H108" s="5" t="s">
        <v>275</v>
      </c>
      <c r="I108" s="5" t="s">
        <v>280</v>
      </c>
      <c r="J108" s="6">
        <v>110</v>
      </c>
      <c r="K108" s="6">
        <f t="shared" si="3"/>
        <v>110</v>
      </c>
      <c r="L108" s="6" t="str">
        <f t="shared" si="4"/>
        <v>Costed Item</v>
      </c>
      <c r="M108" s="6">
        <f t="shared" si="5"/>
        <v>110</v>
      </c>
      <c r="N108" s="5" t="s">
        <v>317</v>
      </c>
      <c r="O108" s="5" t="s">
        <v>64</v>
      </c>
      <c r="P108" s="5" t="s">
        <v>372</v>
      </c>
    </row>
    <row r="109" spans="1:16" x14ac:dyDescent="0.2">
      <c r="A109" s="5">
        <v>3</v>
      </c>
      <c r="B109" s="5" t="s">
        <v>85</v>
      </c>
      <c r="C109" s="5" t="s">
        <v>87</v>
      </c>
      <c r="D109" s="5" t="s">
        <v>213</v>
      </c>
      <c r="E109" s="5">
        <v>1</v>
      </c>
      <c r="F109" s="5" t="s">
        <v>16</v>
      </c>
      <c r="G109" s="5" t="s">
        <v>84</v>
      </c>
      <c r="H109" s="5" t="s">
        <v>275</v>
      </c>
      <c r="I109" s="5" t="s">
        <v>281</v>
      </c>
      <c r="J109" s="6">
        <v>220</v>
      </c>
      <c r="K109" s="6">
        <f t="shared" si="3"/>
        <v>220</v>
      </c>
      <c r="L109" s="6" t="str">
        <f t="shared" si="4"/>
        <v>Costed Item</v>
      </c>
      <c r="M109" s="6">
        <f t="shared" si="5"/>
        <v>220</v>
      </c>
      <c r="N109" s="5" t="s">
        <v>317</v>
      </c>
      <c r="O109" s="5" t="s">
        <v>64</v>
      </c>
      <c r="P109" s="5" t="s">
        <v>372</v>
      </c>
    </row>
    <row r="110" spans="1:16" x14ac:dyDescent="0.2">
      <c r="A110" s="5">
        <v>3</v>
      </c>
      <c r="B110" s="5" t="s">
        <v>85</v>
      </c>
      <c r="C110" s="5" t="s">
        <v>88</v>
      </c>
      <c r="D110" s="5" t="s">
        <v>214</v>
      </c>
      <c r="E110" s="5">
        <v>4</v>
      </c>
      <c r="F110" s="5" t="s">
        <v>16</v>
      </c>
      <c r="G110" s="5" t="s">
        <v>61</v>
      </c>
      <c r="H110" s="5" t="s">
        <v>275</v>
      </c>
      <c r="I110" s="5" t="s">
        <v>280</v>
      </c>
      <c r="J110" s="6">
        <v>35</v>
      </c>
      <c r="K110" s="6">
        <f t="shared" si="3"/>
        <v>140</v>
      </c>
      <c r="L110" s="6" t="str">
        <f t="shared" si="4"/>
        <v>Costed Item</v>
      </c>
      <c r="M110" s="6">
        <f t="shared" si="5"/>
        <v>140</v>
      </c>
      <c r="N110" s="5" t="s">
        <v>369</v>
      </c>
      <c r="O110" s="5" t="s">
        <v>64</v>
      </c>
      <c r="P110" s="5" t="s">
        <v>373</v>
      </c>
    </row>
    <row r="111" spans="1:16" x14ac:dyDescent="0.2">
      <c r="A111" s="5">
        <v>3</v>
      </c>
      <c r="B111" s="5" t="s">
        <v>85</v>
      </c>
      <c r="C111" s="5" t="s">
        <v>89</v>
      </c>
      <c r="D111" s="5" t="s">
        <v>215</v>
      </c>
      <c r="E111" s="5">
        <v>1</v>
      </c>
      <c r="F111" s="5" t="s">
        <v>90</v>
      </c>
      <c r="G111" s="5" t="s">
        <v>41</v>
      </c>
      <c r="H111" s="5" t="s">
        <v>275</v>
      </c>
      <c r="I111" s="5" t="s">
        <v>290</v>
      </c>
      <c r="J111" s="6">
        <v>12</v>
      </c>
      <c r="K111" s="6">
        <f t="shared" si="3"/>
        <v>12</v>
      </c>
      <c r="L111" s="6" t="str">
        <f t="shared" si="4"/>
        <v>Costed Item</v>
      </c>
      <c r="M111" s="6">
        <f t="shared" si="5"/>
        <v>12</v>
      </c>
      <c r="N111" s="5" t="s">
        <v>370</v>
      </c>
      <c r="O111" s="5" t="s">
        <v>64</v>
      </c>
      <c r="P111" s="5" t="s">
        <v>374</v>
      </c>
    </row>
  </sheetData>
  <autoFilter ref="A1:P111" xr:uid="{10F0F443-DB58-8849-B2DF-9CF1FA0892BE}"/>
  <sortState xmlns:xlrd2="http://schemas.microsoft.com/office/spreadsheetml/2017/richdata2" ref="A2:P111">
    <sortCondition ref="A1:A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575-3167-1C4B-BB31-BEFB96CABCFC}">
  <dimension ref="A1:T101"/>
  <sheetViews>
    <sheetView topLeftCell="A67" workbookViewId="0">
      <selection activeCell="T15" sqref="T15"/>
    </sheetView>
  </sheetViews>
  <sheetFormatPr baseColWidth="10" defaultRowHeight="16" x14ac:dyDescent="0.2"/>
  <cols>
    <col min="1" max="1" width="13.5" bestFit="1" customWidth="1"/>
    <col min="2" max="2" width="28.83203125" bestFit="1" customWidth="1"/>
    <col min="3" max="3" width="16.83203125" bestFit="1" customWidth="1"/>
    <col min="4" max="4" width="29.83203125" bestFit="1" customWidth="1"/>
    <col min="5" max="5" width="33.33203125" bestFit="1" customWidth="1"/>
    <col min="6" max="6" width="15.6640625" bestFit="1" customWidth="1"/>
    <col min="7" max="8" width="13.6640625" bestFit="1" customWidth="1"/>
    <col min="9" max="9" width="16.33203125" bestFit="1" customWidth="1"/>
    <col min="10" max="10" width="19.1640625" bestFit="1" customWidth="1"/>
    <col min="11" max="11" width="16.83203125" bestFit="1" customWidth="1"/>
    <col min="12" max="12" width="21.1640625" bestFit="1" customWidth="1"/>
    <col min="13" max="13" width="16.33203125" bestFit="1" customWidth="1"/>
    <col min="14" max="14" width="14.33203125" bestFit="1" customWidth="1"/>
    <col min="17" max="17" width="14.83203125" bestFit="1" customWidth="1"/>
    <col min="18" max="18" width="19.33203125" bestFit="1" customWidth="1"/>
    <col min="19" max="19" width="17.83203125" style="2" bestFit="1" customWidth="1"/>
    <col min="20" max="20" width="37.1640625" bestFit="1" customWidth="1"/>
  </cols>
  <sheetData>
    <row r="1" spans="1:20" x14ac:dyDescent="0.2">
      <c r="A1" s="9" t="s">
        <v>376</v>
      </c>
      <c r="B1" s="9" t="s">
        <v>377</v>
      </c>
      <c r="C1" s="9" t="s">
        <v>435</v>
      </c>
      <c r="D1" s="9" t="s">
        <v>3</v>
      </c>
      <c r="E1" s="9" t="s">
        <v>297</v>
      </c>
      <c r="F1" s="9" t="s">
        <v>6</v>
      </c>
      <c r="G1" s="9" t="s">
        <v>378</v>
      </c>
      <c r="H1" s="9" t="s">
        <v>379</v>
      </c>
      <c r="I1" s="9" t="s">
        <v>380</v>
      </c>
      <c r="J1" s="9" t="s">
        <v>381</v>
      </c>
      <c r="K1" s="9" t="s">
        <v>277</v>
      </c>
      <c r="L1" s="9" t="s">
        <v>382</v>
      </c>
      <c r="M1" s="9" t="s">
        <v>293</v>
      </c>
      <c r="N1" s="9" t="s">
        <v>383</v>
      </c>
      <c r="O1" s="9" t="s">
        <v>384</v>
      </c>
      <c r="P1" s="9" t="s">
        <v>385</v>
      </c>
      <c r="Q1" s="9" t="s">
        <v>386</v>
      </c>
      <c r="R1" s="9" t="s">
        <v>387</v>
      </c>
      <c r="S1" s="10" t="s">
        <v>388</v>
      </c>
      <c r="T1" s="9" t="s">
        <v>516</v>
      </c>
    </row>
    <row r="2" spans="1:20" x14ac:dyDescent="0.2">
      <c r="A2" s="5" t="s">
        <v>436</v>
      </c>
      <c r="B2" s="5" t="s">
        <v>389</v>
      </c>
      <c r="C2" s="5" t="s">
        <v>373</v>
      </c>
      <c r="D2" s="5" t="s">
        <v>15</v>
      </c>
      <c r="E2" s="5" t="s">
        <v>14</v>
      </c>
      <c r="F2" s="5" t="s">
        <v>17</v>
      </c>
      <c r="G2" s="5" t="s">
        <v>482</v>
      </c>
      <c r="H2" s="5" t="s">
        <v>485</v>
      </c>
      <c r="I2" s="5" t="s">
        <v>499</v>
      </c>
      <c r="J2" s="5" t="s">
        <v>410</v>
      </c>
      <c r="K2" s="5" t="s">
        <v>280</v>
      </c>
      <c r="L2" s="5">
        <v>10</v>
      </c>
      <c r="M2" s="6">
        <v>650</v>
      </c>
      <c r="N2" s="5">
        <v>5</v>
      </c>
      <c r="O2" s="5">
        <v>2</v>
      </c>
      <c r="P2" s="5">
        <v>3</v>
      </c>
      <c r="Q2" s="5">
        <v>2</v>
      </c>
      <c r="R2" s="5">
        <v>3</v>
      </c>
      <c r="S2" s="7">
        <f>ROUND(((6-N2)*0.25)+(O2*0.25)+(P2*0.2)+(Q2*0.15)+(R2*0.15),2)</f>
        <v>2.1</v>
      </c>
      <c r="T2" s="5" t="s">
        <v>517</v>
      </c>
    </row>
    <row r="3" spans="1:20" x14ac:dyDescent="0.2">
      <c r="A3" s="5" t="s">
        <v>436</v>
      </c>
      <c r="B3" s="5" t="s">
        <v>389</v>
      </c>
      <c r="C3" s="5" t="s">
        <v>373</v>
      </c>
      <c r="D3" s="5" t="s">
        <v>18</v>
      </c>
      <c r="E3" s="5" t="s">
        <v>14</v>
      </c>
      <c r="F3" s="5" t="s">
        <v>17</v>
      </c>
      <c r="G3" s="5" t="s">
        <v>482</v>
      </c>
      <c r="H3" s="5" t="s">
        <v>485</v>
      </c>
      <c r="I3" s="5" t="s">
        <v>499</v>
      </c>
      <c r="J3" s="5" t="s">
        <v>410</v>
      </c>
      <c r="K3" s="5" t="s">
        <v>280</v>
      </c>
      <c r="L3" s="5">
        <v>10</v>
      </c>
      <c r="M3" s="6">
        <v>450</v>
      </c>
      <c r="N3" s="5">
        <v>5</v>
      </c>
      <c r="O3" s="5">
        <v>2</v>
      </c>
      <c r="P3" s="5">
        <v>3</v>
      </c>
      <c r="Q3" s="5">
        <v>2</v>
      </c>
      <c r="R3" s="5">
        <v>3</v>
      </c>
      <c r="S3" s="7">
        <f t="shared" ref="S3:S66" si="0">ROUND(((6-N3)*0.25)+(O3*0.25)+(P3*0.2)+(Q3*0.15)+(R3*0.15),2)</f>
        <v>2.1</v>
      </c>
      <c r="T3" s="5" t="s">
        <v>517</v>
      </c>
    </row>
    <row r="4" spans="1:20" x14ac:dyDescent="0.2">
      <c r="A4" s="5" t="s">
        <v>437</v>
      </c>
      <c r="B4" s="5" t="s">
        <v>390</v>
      </c>
      <c r="C4" s="5" t="s">
        <v>372</v>
      </c>
      <c r="D4" s="5" t="s">
        <v>42</v>
      </c>
      <c r="E4" s="5" t="s">
        <v>14</v>
      </c>
      <c r="F4" s="5" t="s">
        <v>0</v>
      </c>
      <c r="G4" s="5" t="s">
        <v>482</v>
      </c>
      <c r="H4" s="5" t="s">
        <v>486</v>
      </c>
      <c r="I4" s="5" t="s">
        <v>499</v>
      </c>
      <c r="J4" s="5" t="s">
        <v>393</v>
      </c>
      <c r="K4" s="5" t="s">
        <v>287</v>
      </c>
      <c r="L4" s="5">
        <v>25</v>
      </c>
      <c r="M4" s="6">
        <v>420</v>
      </c>
      <c r="N4" s="5">
        <v>4</v>
      </c>
      <c r="O4" s="5">
        <v>4</v>
      </c>
      <c r="P4" s="5">
        <v>3</v>
      </c>
      <c r="Q4" s="5">
        <v>2</v>
      </c>
      <c r="R4" s="5">
        <v>4</v>
      </c>
      <c r="S4" s="7">
        <f t="shared" si="0"/>
        <v>3</v>
      </c>
      <c r="T4" s="5" t="s">
        <v>518</v>
      </c>
    </row>
    <row r="5" spans="1:20" x14ac:dyDescent="0.2">
      <c r="A5" s="5" t="s">
        <v>437</v>
      </c>
      <c r="B5" s="5" t="s">
        <v>390</v>
      </c>
      <c r="C5" s="5" t="s">
        <v>372</v>
      </c>
      <c r="D5" s="5" t="s">
        <v>43</v>
      </c>
      <c r="E5" s="5" t="s">
        <v>14</v>
      </c>
      <c r="F5" s="5" t="s">
        <v>0</v>
      </c>
      <c r="G5" s="5" t="s">
        <v>482</v>
      </c>
      <c r="H5" s="5" t="s">
        <v>486</v>
      </c>
      <c r="I5" s="5" t="s">
        <v>499</v>
      </c>
      <c r="J5" s="5" t="s">
        <v>393</v>
      </c>
      <c r="K5" s="5" t="s">
        <v>287</v>
      </c>
      <c r="L5" s="5">
        <v>25</v>
      </c>
      <c r="M5" s="6">
        <v>95</v>
      </c>
      <c r="N5" s="5">
        <v>4</v>
      </c>
      <c r="O5" s="5">
        <v>4</v>
      </c>
      <c r="P5" s="5">
        <v>3</v>
      </c>
      <c r="Q5" s="5">
        <v>2</v>
      </c>
      <c r="R5" s="5">
        <v>4</v>
      </c>
      <c r="S5" s="7">
        <f t="shared" si="0"/>
        <v>3</v>
      </c>
      <c r="T5" s="5" t="s">
        <v>518</v>
      </c>
    </row>
    <row r="6" spans="1:20" x14ac:dyDescent="0.2">
      <c r="A6" s="5" t="s">
        <v>438</v>
      </c>
      <c r="B6" s="5" t="s">
        <v>391</v>
      </c>
      <c r="C6" s="5" t="s">
        <v>372</v>
      </c>
      <c r="D6" s="5" t="s">
        <v>44</v>
      </c>
      <c r="E6" s="5" t="s">
        <v>14</v>
      </c>
      <c r="F6" s="5" t="s">
        <v>29</v>
      </c>
      <c r="G6" s="5" t="s">
        <v>483</v>
      </c>
      <c r="H6" s="5" t="s">
        <v>487</v>
      </c>
      <c r="I6" s="5" t="s">
        <v>499</v>
      </c>
      <c r="J6" s="5" t="s">
        <v>393</v>
      </c>
      <c r="K6" s="5" t="s">
        <v>288</v>
      </c>
      <c r="L6" s="5">
        <v>50</v>
      </c>
      <c r="M6" s="6">
        <v>110</v>
      </c>
      <c r="N6" s="5">
        <v>5</v>
      </c>
      <c r="O6" s="5">
        <v>3</v>
      </c>
      <c r="P6" s="5">
        <v>3</v>
      </c>
      <c r="Q6" s="5">
        <v>2</v>
      </c>
      <c r="R6" s="5">
        <v>3</v>
      </c>
      <c r="S6" s="7">
        <f t="shared" si="0"/>
        <v>2.35</v>
      </c>
      <c r="T6" s="5" t="s">
        <v>517</v>
      </c>
    </row>
    <row r="7" spans="1:20" x14ac:dyDescent="0.2">
      <c r="A7" s="5" t="s">
        <v>437</v>
      </c>
      <c r="B7" s="5" t="s">
        <v>390</v>
      </c>
      <c r="C7" s="5" t="s">
        <v>372</v>
      </c>
      <c r="D7" s="5" t="s">
        <v>46</v>
      </c>
      <c r="E7" s="5" t="s">
        <v>14</v>
      </c>
      <c r="F7" s="5" t="s">
        <v>0</v>
      </c>
      <c r="G7" s="5" t="s">
        <v>482</v>
      </c>
      <c r="H7" s="5" t="s">
        <v>486</v>
      </c>
      <c r="I7" s="5" t="s">
        <v>499</v>
      </c>
      <c r="J7" s="5" t="s">
        <v>392</v>
      </c>
      <c r="K7" s="5" t="s">
        <v>281</v>
      </c>
      <c r="L7" s="5">
        <v>100</v>
      </c>
      <c r="M7" s="6">
        <v>9</v>
      </c>
      <c r="N7" s="5">
        <v>4</v>
      </c>
      <c r="O7" s="5">
        <v>3</v>
      </c>
      <c r="P7" s="5">
        <v>2</v>
      </c>
      <c r="Q7" s="5">
        <v>2</v>
      </c>
      <c r="R7" s="5">
        <v>3</v>
      </c>
      <c r="S7" s="7">
        <f t="shared" si="0"/>
        <v>2.4</v>
      </c>
      <c r="T7" s="5" t="s">
        <v>517</v>
      </c>
    </row>
    <row r="8" spans="1:20" x14ac:dyDescent="0.2">
      <c r="A8" s="5" t="s">
        <v>439</v>
      </c>
      <c r="B8" s="5" t="s">
        <v>392</v>
      </c>
      <c r="C8" s="5" t="s">
        <v>372</v>
      </c>
      <c r="D8" s="5" t="s">
        <v>48</v>
      </c>
      <c r="E8" s="5" t="s">
        <v>14</v>
      </c>
      <c r="F8" s="5" t="s">
        <v>0</v>
      </c>
      <c r="G8" s="5" t="s">
        <v>483</v>
      </c>
      <c r="H8" s="5" t="s">
        <v>488</v>
      </c>
      <c r="I8" s="5" t="s">
        <v>499</v>
      </c>
      <c r="J8" s="5" t="s">
        <v>390</v>
      </c>
      <c r="K8" s="5" t="s">
        <v>281</v>
      </c>
      <c r="L8" s="5">
        <v>25</v>
      </c>
      <c r="M8" s="6">
        <v>55</v>
      </c>
      <c r="N8" s="5">
        <v>4</v>
      </c>
      <c r="O8" s="5">
        <v>4</v>
      </c>
      <c r="P8" s="5">
        <v>3</v>
      </c>
      <c r="Q8" s="5">
        <v>2</v>
      </c>
      <c r="R8" s="5">
        <v>4</v>
      </c>
      <c r="S8" s="7">
        <f t="shared" si="0"/>
        <v>3</v>
      </c>
      <c r="T8" s="5" t="s">
        <v>518</v>
      </c>
    </row>
    <row r="9" spans="1:20" x14ac:dyDescent="0.2">
      <c r="A9" s="5" t="s">
        <v>440</v>
      </c>
      <c r="B9" s="5" t="s">
        <v>393</v>
      </c>
      <c r="C9" s="5" t="s">
        <v>373</v>
      </c>
      <c r="D9" s="5" t="s">
        <v>49</v>
      </c>
      <c r="E9" s="5" t="s">
        <v>14</v>
      </c>
      <c r="F9" s="5" t="s">
        <v>29</v>
      </c>
      <c r="G9" s="5" t="s">
        <v>483</v>
      </c>
      <c r="H9" s="5" t="s">
        <v>488</v>
      </c>
      <c r="I9" s="5" t="s">
        <v>499</v>
      </c>
      <c r="J9" s="5" t="s">
        <v>391</v>
      </c>
      <c r="K9" s="5" t="s">
        <v>287</v>
      </c>
      <c r="L9" s="5">
        <v>50</v>
      </c>
      <c r="M9" s="6">
        <v>85</v>
      </c>
      <c r="N9" s="5">
        <v>5</v>
      </c>
      <c r="O9" s="5">
        <v>4</v>
      </c>
      <c r="P9" s="5">
        <v>3</v>
      </c>
      <c r="Q9" s="5">
        <v>2</v>
      </c>
      <c r="R9" s="5">
        <v>4</v>
      </c>
      <c r="S9" s="7">
        <f t="shared" si="0"/>
        <v>2.75</v>
      </c>
      <c r="T9" s="5" t="s">
        <v>517</v>
      </c>
    </row>
    <row r="10" spans="1:20" x14ac:dyDescent="0.2">
      <c r="A10" s="5" t="s">
        <v>441</v>
      </c>
      <c r="B10" s="5" t="s">
        <v>394</v>
      </c>
      <c r="C10" s="5" t="s">
        <v>372</v>
      </c>
      <c r="D10" s="5" t="s">
        <v>50</v>
      </c>
      <c r="E10" s="5" t="s">
        <v>14</v>
      </c>
      <c r="F10" s="5" t="s">
        <v>29</v>
      </c>
      <c r="G10" s="5" t="s">
        <v>482</v>
      </c>
      <c r="H10" s="5" t="s">
        <v>486</v>
      </c>
      <c r="I10" s="5" t="s">
        <v>499</v>
      </c>
      <c r="J10" s="5" t="s">
        <v>500</v>
      </c>
      <c r="K10" s="5" t="s">
        <v>280</v>
      </c>
      <c r="L10" s="5">
        <v>100</v>
      </c>
      <c r="M10" s="6">
        <v>18</v>
      </c>
      <c r="N10" s="5">
        <v>4</v>
      </c>
      <c r="O10" s="5">
        <v>2</v>
      </c>
      <c r="P10" s="5">
        <v>1</v>
      </c>
      <c r="Q10" s="5">
        <v>2</v>
      </c>
      <c r="R10" s="5">
        <v>2</v>
      </c>
      <c r="S10" s="7">
        <f t="shared" si="0"/>
        <v>1.8</v>
      </c>
      <c r="T10" s="5" t="s">
        <v>519</v>
      </c>
    </row>
    <row r="11" spans="1:20" x14ac:dyDescent="0.2">
      <c r="A11" s="5" t="s">
        <v>442</v>
      </c>
      <c r="B11" s="5" t="s">
        <v>395</v>
      </c>
      <c r="C11" s="5" t="s">
        <v>372</v>
      </c>
      <c r="D11" s="5" t="s">
        <v>51</v>
      </c>
      <c r="E11" s="5" t="s">
        <v>14</v>
      </c>
      <c r="F11" s="5" t="s">
        <v>29</v>
      </c>
      <c r="G11" s="5" t="s">
        <v>482</v>
      </c>
      <c r="H11" s="5" t="s">
        <v>486</v>
      </c>
      <c r="I11" s="5" t="s">
        <v>499</v>
      </c>
      <c r="J11" s="5" t="s">
        <v>501</v>
      </c>
      <c r="K11" s="5" t="s">
        <v>289</v>
      </c>
      <c r="L11" s="5">
        <v>100</v>
      </c>
      <c r="M11" s="6">
        <v>45</v>
      </c>
      <c r="N11" s="5">
        <v>4</v>
      </c>
      <c r="O11" s="5">
        <v>4</v>
      </c>
      <c r="P11" s="5">
        <v>2</v>
      </c>
      <c r="Q11" s="5">
        <v>2</v>
      </c>
      <c r="R11" s="5">
        <v>3</v>
      </c>
      <c r="S11" s="7">
        <f t="shared" si="0"/>
        <v>2.65</v>
      </c>
      <c r="T11" s="5" t="s">
        <v>517</v>
      </c>
    </row>
    <row r="12" spans="1:20" x14ac:dyDescent="0.2">
      <c r="A12" s="5" t="s">
        <v>440</v>
      </c>
      <c r="B12" s="5" t="s">
        <v>393</v>
      </c>
      <c r="C12" s="5" t="s">
        <v>373</v>
      </c>
      <c r="D12" s="5" t="s">
        <v>52</v>
      </c>
      <c r="E12" s="5" t="s">
        <v>14</v>
      </c>
      <c r="F12" s="5" t="s">
        <v>38</v>
      </c>
      <c r="G12" s="5" t="s">
        <v>483</v>
      </c>
      <c r="H12" s="5" t="s">
        <v>488</v>
      </c>
      <c r="I12" s="5" t="s">
        <v>499</v>
      </c>
      <c r="J12" s="5" t="s">
        <v>391</v>
      </c>
      <c r="K12" s="5" t="s">
        <v>280</v>
      </c>
      <c r="L12" s="5">
        <v>25</v>
      </c>
      <c r="M12" s="6">
        <v>65</v>
      </c>
      <c r="N12" s="5">
        <v>5</v>
      </c>
      <c r="O12" s="5">
        <v>4</v>
      </c>
      <c r="P12" s="5">
        <v>2</v>
      </c>
      <c r="Q12" s="5">
        <v>2</v>
      </c>
      <c r="R12" s="5">
        <v>4</v>
      </c>
      <c r="S12" s="7">
        <f t="shared" si="0"/>
        <v>2.5499999999999998</v>
      </c>
      <c r="T12" s="5" t="s">
        <v>517</v>
      </c>
    </row>
    <row r="13" spans="1:20" x14ac:dyDescent="0.2">
      <c r="A13" s="5" t="s">
        <v>443</v>
      </c>
      <c r="B13" s="5" t="s">
        <v>396</v>
      </c>
      <c r="C13" s="5" t="s">
        <v>372</v>
      </c>
      <c r="D13" s="5" t="s">
        <v>53</v>
      </c>
      <c r="E13" s="5" t="s">
        <v>14</v>
      </c>
      <c r="F13" s="5" t="s">
        <v>35</v>
      </c>
      <c r="G13" s="5" t="s">
        <v>482</v>
      </c>
      <c r="H13" s="5" t="s">
        <v>486</v>
      </c>
      <c r="I13" s="5" t="s">
        <v>499</v>
      </c>
      <c r="J13" s="5" t="s">
        <v>413</v>
      </c>
      <c r="K13" s="5" t="s">
        <v>288</v>
      </c>
      <c r="L13" s="5">
        <v>10</v>
      </c>
      <c r="M13" s="6">
        <v>180</v>
      </c>
      <c r="N13" s="5">
        <v>5</v>
      </c>
      <c r="O13" s="5">
        <v>3</v>
      </c>
      <c r="P13" s="5">
        <v>3</v>
      </c>
      <c r="Q13" s="5">
        <v>2</v>
      </c>
      <c r="R13" s="5">
        <v>3</v>
      </c>
      <c r="S13" s="7">
        <f t="shared" si="0"/>
        <v>2.35</v>
      </c>
      <c r="T13" s="5" t="s">
        <v>517</v>
      </c>
    </row>
    <row r="14" spans="1:20" x14ac:dyDescent="0.2">
      <c r="A14" s="5" t="s">
        <v>444</v>
      </c>
      <c r="B14" s="5" t="s">
        <v>397</v>
      </c>
      <c r="C14" s="5" t="s">
        <v>372</v>
      </c>
      <c r="D14" s="5" t="s">
        <v>55</v>
      </c>
      <c r="E14" s="5" t="s">
        <v>14</v>
      </c>
      <c r="F14" s="5" t="s">
        <v>35</v>
      </c>
      <c r="G14" s="5" t="s">
        <v>483</v>
      </c>
      <c r="H14" s="5" t="s">
        <v>489</v>
      </c>
      <c r="I14" s="5" t="s">
        <v>499</v>
      </c>
      <c r="J14" s="5" t="s">
        <v>412</v>
      </c>
      <c r="K14" s="5" t="s">
        <v>280</v>
      </c>
      <c r="L14" s="5">
        <v>25</v>
      </c>
      <c r="M14" s="6">
        <v>95</v>
      </c>
      <c r="N14" s="5">
        <v>4</v>
      </c>
      <c r="O14" s="5">
        <v>3</v>
      </c>
      <c r="P14" s="5">
        <v>2</v>
      </c>
      <c r="Q14" s="5">
        <v>2</v>
      </c>
      <c r="R14" s="5">
        <v>3</v>
      </c>
      <c r="S14" s="7">
        <f t="shared" si="0"/>
        <v>2.4</v>
      </c>
      <c r="T14" s="5" t="s">
        <v>517</v>
      </c>
    </row>
    <row r="15" spans="1:20" x14ac:dyDescent="0.2">
      <c r="A15" s="5" t="s">
        <v>444</v>
      </c>
      <c r="B15" s="5" t="s">
        <v>397</v>
      </c>
      <c r="C15" s="5" t="s">
        <v>372</v>
      </c>
      <c r="D15" s="5" t="s">
        <v>56</v>
      </c>
      <c r="E15" s="5" t="s">
        <v>14</v>
      </c>
      <c r="F15" s="5" t="s">
        <v>35</v>
      </c>
      <c r="G15" s="5" t="s">
        <v>483</v>
      </c>
      <c r="H15" s="5" t="s">
        <v>489</v>
      </c>
      <c r="I15" s="5" t="s">
        <v>499</v>
      </c>
      <c r="J15" s="5" t="s">
        <v>412</v>
      </c>
      <c r="K15" s="5" t="s">
        <v>283</v>
      </c>
      <c r="L15" s="5">
        <v>25</v>
      </c>
      <c r="M15" s="6">
        <v>18</v>
      </c>
      <c r="N15" s="5">
        <v>4</v>
      </c>
      <c r="O15" s="5">
        <v>3</v>
      </c>
      <c r="P15" s="5">
        <v>2</v>
      </c>
      <c r="Q15" s="5">
        <v>2</v>
      </c>
      <c r="R15" s="5">
        <v>3</v>
      </c>
      <c r="S15" s="7">
        <f t="shared" si="0"/>
        <v>2.4</v>
      </c>
      <c r="T15" s="5" t="s">
        <v>517</v>
      </c>
    </row>
    <row r="16" spans="1:20" x14ac:dyDescent="0.2">
      <c r="A16" s="5" t="s">
        <v>445</v>
      </c>
      <c r="B16" s="5" t="s">
        <v>398</v>
      </c>
      <c r="C16" s="5" t="s">
        <v>372</v>
      </c>
      <c r="D16" s="5" t="s">
        <v>58</v>
      </c>
      <c r="E16" s="5" t="s">
        <v>14</v>
      </c>
      <c r="F16" s="5" t="s">
        <v>59</v>
      </c>
      <c r="G16" s="5" t="s">
        <v>483</v>
      </c>
      <c r="H16" s="5" t="s">
        <v>490</v>
      </c>
      <c r="I16" s="5" t="s">
        <v>499</v>
      </c>
      <c r="J16" s="5" t="s">
        <v>502</v>
      </c>
      <c r="K16" s="5" t="s">
        <v>285</v>
      </c>
      <c r="L16" s="5">
        <v>100</v>
      </c>
      <c r="M16" s="6">
        <v>42</v>
      </c>
      <c r="N16" s="5">
        <v>5</v>
      </c>
      <c r="O16" s="5">
        <v>3</v>
      </c>
      <c r="P16" s="5">
        <v>2</v>
      </c>
      <c r="Q16" s="5">
        <v>2</v>
      </c>
      <c r="R16" s="5">
        <v>2</v>
      </c>
      <c r="S16" s="7">
        <f t="shared" si="0"/>
        <v>2</v>
      </c>
      <c r="T16" s="5" t="s">
        <v>519</v>
      </c>
    </row>
    <row r="17" spans="1:20" x14ac:dyDescent="0.2">
      <c r="A17" s="5" t="s">
        <v>446</v>
      </c>
      <c r="B17" s="5" t="s">
        <v>399</v>
      </c>
      <c r="C17" s="5" t="s">
        <v>372</v>
      </c>
      <c r="D17" s="5" t="s">
        <v>60</v>
      </c>
      <c r="E17" s="5" t="s">
        <v>14</v>
      </c>
      <c r="F17" s="5" t="s">
        <v>61</v>
      </c>
      <c r="G17" s="5" t="s">
        <v>483</v>
      </c>
      <c r="H17" s="5" t="s">
        <v>488</v>
      </c>
      <c r="I17" s="5" t="s">
        <v>499</v>
      </c>
      <c r="J17" s="5" t="s">
        <v>503</v>
      </c>
      <c r="K17" s="5" t="s">
        <v>290</v>
      </c>
      <c r="L17" s="8">
        <v>1000</v>
      </c>
      <c r="M17" s="6">
        <v>35</v>
      </c>
      <c r="N17" s="5">
        <v>4</v>
      </c>
      <c r="O17" s="5">
        <v>2</v>
      </c>
      <c r="P17" s="5">
        <v>1</v>
      </c>
      <c r="Q17" s="5">
        <v>2</v>
      </c>
      <c r="R17" s="5">
        <v>1</v>
      </c>
      <c r="S17" s="7">
        <f t="shared" si="0"/>
        <v>1.65</v>
      </c>
      <c r="T17" s="5" t="s">
        <v>519</v>
      </c>
    </row>
    <row r="18" spans="1:20" x14ac:dyDescent="0.2">
      <c r="A18" s="5" t="s">
        <v>447</v>
      </c>
      <c r="B18" s="5" t="s">
        <v>400</v>
      </c>
      <c r="C18" s="5" t="s">
        <v>372</v>
      </c>
      <c r="D18" s="5" t="s">
        <v>62</v>
      </c>
      <c r="E18" s="5" t="s">
        <v>14</v>
      </c>
      <c r="F18" s="5" t="s">
        <v>63</v>
      </c>
      <c r="G18" s="5" t="s">
        <v>482</v>
      </c>
      <c r="H18" s="5" t="s">
        <v>486</v>
      </c>
      <c r="I18" s="5" t="s">
        <v>499</v>
      </c>
      <c r="J18" s="5" t="s">
        <v>504</v>
      </c>
      <c r="K18" s="5" t="s">
        <v>291</v>
      </c>
      <c r="L18" s="5">
        <v>500</v>
      </c>
      <c r="M18" s="6">
        <v>4</v>
      </c>
      <c r="N18" s="5">
        <v>4</v>
      </c>
      <c r="O18" s="5">
        <v>1</v>
      </c>
      <c r="P18" s="5">
        <v>1</v>
      </c>
      <c r="Q18" s="5">
        <v>1</v>
      </c>
      <c r="R18" s="5">
        <v>1</v>
      </c>
      <c r="S18" s="7">
        <f t="shared" si="0"/>
        <v>1.25</v>
      </c>
      <c r="T18" s="5" t="s">
        <v>519</v>
      </c>
    </row>
    <row r="19" spans="1:20" x14ac:dyDescent="0.2">
      <c r="A19" s="5" t="s">
        <v>448</v>
      </c>
      <c r="B19" s="5" t="s">
        <v>401</v>
      </c>
      <c r="C19" s="5" t="s">
        <v>372</v>
      </c>
      <c r="D19" s="5" t="s">
        <v>76</v>
      </c>
      <c r="E19" s="5" t="s">
        <v>64</v>
      </c>
      <c r="F19" s="5" t="s">
        <v>77</v>
      </c>
      <c r="G19" s="5" t="s">
        <v>482</v>
      </c>
      <c r="H19" s="5" t="s">
        <v>486</v>
      </c>
      <c r="I19" s="5" t="s">
        <v>499</v>
      </c>
      <c r="J19" s="5" t="s">
        <v>413</v>
      </c>
      <c r="K19" s="5" t="s">
        <v>287</v>
      </c>
      <c r="L19" s="5">
        <v>10</v>
      </c>
      <c r="M19" s="6">
        <v>650</v>
      </c>
      <c r="N19" s="5">
        <v>5</v>
      </c>
      <c r="O19" s="5">
        <v>5</v>
      </c>
      <c r="P19" s="5">
        <v>4</v>
      </c>
      <c r="Q19" s="5">
        <v>2</v>
      </c>
      <c r="R19" s="5">
        <v>5</v>
      </c>
      <c r="S19" s="7">
        <f t="shared" si="0"/>
        <v>3.35</v>
      </c>
      <c r="T19" s="5" t="s">
        <v>518</v>
      </c>
    </row>
    <row r="20" spans="1:20" x14ac:dyDescent="0.2">
      <c r="A20" s="5" t="s">
        <v>449</v>
      </c>
      <c r="B20" s="5" t="s">
        <v>402</v>
      </c>
      <c r="C20" s="5" t="s">
        <v>372</v>
      </c>
      <c r="D20" s="5" t="s">
        <v>83</v>
      </c>
      <c r="E20" s="5" t="s">
        <v>64</v>
      </c>
      <c r="F20" s="5" t="s">
        <v>84</v>
      </c>
      <c r="G20" s="5" t="s">
        <v>483</v>
      </c>
      <c r="H20" s="5" t="s">
        <v>489</v>
      </c>
      <c r="I20" s="5" t="s">
        <v>499</v>
      </c>
      <c r="J20" s="5" t="s">
        <v>396</v>
      </c>
      <c r="K20" s="5" t="s">
        <v>281</v>
      </c>
      <c r="L20" s="5">
        <v>10</v>
      </c>
      <c r="M20" s="6">
        <v>480</v>
      </c>
      <c r="N20" s="5">
        <v>5</v>
      </c>
      <c r="O20" s="5">
        <v>4</v>
      </c>
      <c r="P20" s="5">
        <v>4</v>
      </c>
      <c r="Q20" s="5">
        <v>2</v>
      </c>
      <c r="R20" s="5">
        <v>4</v>
      </c>
      <c r="S20" s="7">
        <f t="shared" si="0"/>
        <v>2.95</v>
      </c>
      <c r="T20" s="5" t="s">
        <v>517</v>
      </c>
    </row>
    <row r="21" spans="1:20" x14ac:dyDescent="0.2">
      <c r="A21" s="5" t="s">
        <v>450</v>
      </c>
      <c r="B21" s="5" t="s">
        <v>403</v>
      </c>
      <c r="C21" s="5" t="s">
        <v>372</v>
      </c>
      <c r="D21" s="5" t="s">
        <v>91</v>
      </c>
      <c r="E21" s="5" t="s">
        <v>64</v>
      </c>
      <c r="F21" s="5" t="s">
        <v>17</v>
      </c>
      <c r="G21" s="5" t="s">
        <v>483</v>
      </c>
      <c r="H21" s="5" t="s">
        <v>490</v>
      </c>
      <c r="I21" s="5" t="s">
        <v>499</v>
      </c>
      <c r="J21" s="5" t="s">
        <v>389</v>
      </c>
      <c r="K21" s="5" t="s">
        <v>283</v>
      </c>
      <c r="L21" s="5">
        <v>25</v>
      </c>
      <c r="M21" s="6">
        <v>45</v>
      </c>
      <c r="N21" s="5">
        <v>5</v>
      </c>
      <c r="O21" s="5">
        <v>3</v>
      </c>
      <c r="P21" s="5">
        <v>2</v>
      </c>
      <c r="Q21" s="5">
        <v>2</v>
      </c>
      <c r="R21" s="5">
        <v>2</v>
      </c>
      <c r="S21" s="7">
        <f t="shared" si="0"/>
        <v>2</v>
      </c>
      <c r="T21" s="5" t="s">
        <v>519</v>
      </c>
    </row>
    <row r="22" spans="1:20" x14ac:dyDescent="0.2">
      <c r="A22" s="5" t="s">
        <v>446</v>
      </c>
      <c r="B22" s="5" t="s">
        <v>399</v>
      </c>
      <c r="C22" s="5" t="s">
        <v>372</v>
      </c>
      <c r="D22" s="5" t="s">
        <v>92</v>
      </c>
      <c r="E22" s="5" t="s">
        <v>64</v>
      </c>
      <c r="F22" s="5" t="s">
        <v>61</v>
      </c>
      <c r="G22" s="5" t="s">
        <v>483</v>
      </c>
      <c r="H22" s="5" t="s">
        <v>488</v>
      </c>
      <c r="I22" s="5" t="s">
        <v>499</v>
      </c>
      <c r="J22" s="5" t="s">
        <v>503</v>
      </c>
      <c r="K22" s="5" t="s">
        <v>290</v>
      </c>
      <c r="L22" s="8">
        <v>1000</v>
      </c>
      <c r="M22" s="6">
        <v>22</v>
      </c>
      <c r="N22" s="5">
        <v>4</v>
      </c>
      <c r="O22" s="5">
        <v>2</v>
      </c>
      <c r="P22" s="5">
        <v>1</v>
      </c>
      <c r="Q22" s="5">
        <v>2</v>
      </c>
      <c r="R22" s="5">
        <v>1</v>
      </c>
      <c r="S22" s="7">
        <f t="shared" si="0"/>
        <v>1.65</v>
      </c>
      <c r="T22" s="5" t="s">
        <v>519</v>
      </c>
    </row>
    <row r="23" spans="1:20" x14ac:dyDescent="0.2">
      <c r="A23" s="5" t="s">
        <v>448</v>
      </c>
      <c r="B23" s="5" t="s">
        <v>401</v>
      </c>
      <c r="C23" s="5" t="s">
        <v>372</v>
      </c>
      <c r="D23" s="5" t="s">
        <v>95</v>
      </c>
      <c r="E23" s="5" t="s">
        <v>93</v>
      </c>
      <c r="F23" s="5" t="s">
        <v>96</v>
      </c>
      <c r="G23" s="5" t="s">
        <v>482</v>
      </c>
      <c r="H23" s="5" t="s">
        <v>486</v>
      </c>
      <c r="I23" s="5" t="s">
        <v>499</v>
      </c>
      <c r="J23" s="5" t="s">
        <v>404</v>
      </c>
      <c r="K23" s="5" t="s">
        <v>287</v>
      </c>
      <c r="L23" s="5">
        <v>10</v>
      </c>
      <c r="M23" s="6">
        <v>480</v>
      </c>
      <c r="N23" s="5">
        <v>5</v>
      </c>
      <c r="O23" s="5">
        <v>5</v>
      </c>
      <c r="P23" s="5">
        <v>4</v>
      </c>
      <c r="Q23" s="5">
        <v>2</v>
      </c>
      <c r="R23" s="5">
        <v>5</v>
      </c>
      <c r="S23" s="7">
        <f t="shared" si="0"/>
        <v>3.35</v>
      </c>
      <c r="T23" s="5" t="s">
        <v>518</v>
      </c>
    </row>
    <row r="24" spans="1:20" x14ac:dyDescent="0.2">
      <c r="A24" s="5" t="s">
        <v>451</v>
      </c>
      <c r="B24" s="5" t="s">
        <v>404</v>
      </c>
      <c r="C24" s="5" t="s">
        <v>372</v>
      </c>
      <c r="D24" s="5" t="s">
        <v>97</v>
      </c>
      <c r="E24" s="5" t="s">
        <v>93</v>
      </c>
      <c r="F24" s="5" t="s">
        <v>29</v>
      </c>
      <c r="G24" s="5" t="s">
        <v>484</v>
      </c>
      <c r="H24" s="5" t="s">
        <v>491</v>
      </c>
      <c r="I24" s="5" t="s">
        <v>499</v>
      </c>
      <c r="J24" s="5" t="s">
        <v>401</v>
      </c>
      <c r="K24" s="5" t="s">
        <v>287</v>
      </c>
      <c r="L24" s="5">
        <v>10</v>
      </c>
      <c r="M24" s="6">
        <v>320</v>
      </c>
      <c r="N24" s="5">
        <v>4</v>
      </c>
      <c r="O24" s="5">
        <v>5</v>
      </c>
      <c r="P24" s="5">
        <v>4</v>
      </c>
      <c r="Q24" s="5">
        <v>3</v>
      </c>
      <c r="R24" s="5">
        <v>5</v>
      </c>
      <c r="S24" s="7">
        <f t="shared" si="0"/>
        <v>3.75</v>
      </c>
      <c r="T24" s="5" t="s">
        <v>520</v>
      </c>
    </row>
    <row r="25" spans="1:20" x14ac:dyDescent="0.2">
      <c r="A25" s="5" t="s">
        <v>440</v>
      </c>
      <c r="B25" s="5" t="s">
        <v>393</v>
      </c>
      <c r="C25" s="5" t="s">
        <v>373</v>
      </c>
      <c r="D25" s="5" t="s">
        <v>98</v>
      </c>
      <c r="E25" s="5" t="s">
        <v>93</v>
      </c>
      <c r="F25" s="5" t="s">
        <v>96</v>
      </c>
      <c r="G25" s="5" t="s">
        <v>483</v>
      </c>
      <c r="H25" s="5" t="s">
        <v>488</v>
      </c>
      <c r="I25" s="5" t="s">
        <v>499</v>
      </c>
      <c r="J25" s="5" t="s">
        <v>391</v>
      </c>
      <c r="K25" s="5" t="s">
        <v>281</v>
      </c>
      <c r="L25" s="5">
        <v>25</v>
      </c>
      <c r="M25" s="6">
        <v>160</v>
      </c>
      <c r="N25" s="5">
        <v>5</v>
      </c>
      <c r="O25" s="5">
        <v>4</v>
      </c>
      <c r="P25" s="5">
        <v>3</v>
      </c>
      <c r="Q25" s="5">
        <v>2</v>
      </c>
      <c r="R25" s="5">
        <v>4</v>
      </c>
      <c r="S25" s="7">
        <f t="shared" si="0"/>
        <v>2.75</v>
      </c>
      <c r="T25" s="5" t="s">
        <v>517</v>
      </c>
    </row>
    <row r="26" spans="1:20" x14ac:dyDescent="0.2">
      <c r="A26" s="5" t="s">
        <v>440</v>
      </c>
      <c r="B26" s="5" t="s">
        <v>393</v>
      </c>
      <c r="C26" s="5" t="s">
        <v>374</v>
      </c>
      <c r="D26" s="5" t="s">
        <v>99</v>
      </c>
      <c r="E26" s="5" t="s">
        <v>93</v>
      </c>
      <c r="F26" s="5" t="s">
        <v>29</v>
      </c>
      <c r="G26" s="5" t="s">
        <v>483</v>
      </c>
      <c r="H26" s="5" t="s">
        <v>488</v>
      </c>
      <c r="I26" s="5" t="s">
        <v>499</v>
      </c>
      <c r="J26" s="5" t="s">
        <v>391</v>
      </c>
      <c r="K26" s="5" t="s">
        <v>280</v>
      </c>
      <c r="L26" s="5">
        <v>25</v>
      </c>
      <c r="M26" s="6">
        <v>35</v>
      </c>
      <c r="N26" s="5">
        <v>5</v>
      </c>
      <c r="O26" s="5">
        <v>4</v>
      </c>
      <c r="P26" s="5">
        <v>3</v>
      </c>
      <c r="Q26" s="5">
        <v>2</v>
      </c>
      <c r="R26" s="5">
        <v>4</v>
      </c>
      <c r="S26" s="7">
        <f t="shared" si="0"/>
        <v>2.75</v>
      </c>
      <c r="T26" s="5" t="s">
        <v>521</v>
      </c>
    </row>
    <row r="27" spans="1:20" x14ac:dyDescent="0.2">
      <c r="A27" s="5" t="s">
        <v>440</v>
      </c>
      <c r="B27" s="5" t="s">
        <v>393</v>
      </c>
      <c r="C27" s="5" t="s">
        <v>373</v>
      </c>
      <c r="D27" s="5" t="s">
        <v>100</v>
      </c>
      <c r="E27" s="5" t="s">
        <v>93</v>
      </c>
      <c r="F27" s="5" t="s">
        <v>29</v>
      </c>
      <c r="G27" s="5" t="s">
        <v>483</v>
      </c>
      <c r="H27" s="5" t="s">
        <v>488</v>
      </c>
      <c r="I27" s="5" t="s">
        <v>499</v>
      </c>
      <c r="J27" s="5" t="s">
        <v>391</v>
      </c>
      <c r="K27" s="5" t="s">
        <v>281</v>
      </c>
      <c r="L27" s="5">
        <v>25</v>
      </c>
      <c r="M27" s="6">
        <v>220</v>
      </c>
      <c r="N27" s="5">
        <v>5</v>
      </c>
      <c r="O27" s="5">
        <v>4</v>
      </c>
      <c r="P27" s="5">
        <v>3</v>
      </c>
      <c r="Q27" s="5">
        <v>2</v>
      </c>
      <c r="R27" s="5">
        <v>4</v>
      </c>
      <c r="S27" s="7">
        <f t="shared" si="0"/>
        <v>2.75</v>
      </c>
      <c r="T27" s="5" t="s">
        <v>517</v>
      </c>
    </row>
    <row r="28" spans="1:20" x14ac:dyDescent="0.2">
      <c r="A28" s="5" t="s">
        <v>438</v>
      </c>
      <c r="B28" s="5" t="s">
        <v>391</v>
      </c>
      <c r="C28" s="5" t="s">
        <v>372</v>
      </c>
      <c r="D28" s="5" t="s">
        <v>101</v>
      </c>
      <c r="E28" s="5" t="s">
        <v>93</v>
      </c>
      <c r="F28" s="5" t="s">
        <v>29</v>
      </c>
      <c r="G28" s="5" t="s">
        <v>483</v>
      </c>
      <c r="H28" s="5" t="s">
        <v>487</v>
      </c>
      <c r="I28" s="5" t="s">
        <v>499</v>
      </c>
      <c r="J28" s="5" t="s">
        <v>393</v>
      </c>
      <c r="K28" s="5" t="s">
        <v>288</v>
      </c>
      <c r="L28" s="5">
        <v>25</v>
      </c>
      <c r="M28" s="6">
        <v>140</v>
      </c>
      <c r="N28" s="5">
        <v>5</v>
      </c>
      <c r="O28" s="5">
        <v>4</v>
      </c>
      <c r="P28" s="5">
        <v>3</v>
      </c>
      <c r="Q28" s="5">
        <v>2</v>
      </c>
      <c r="R28" s="5">
        <v>4</v>
      </c>
      <c r="S28" s="7">
        <f t="shared" si="0"/>
        <v>2.75</v>
      </c>
      <c r="T28" s="5" t="s">
        <v>517</v>
      </c>
    </row>
    <row r="29" spans="1:20" x14ac:dyDescent="0.2">
      <c r="A29" s="5" t="s">
        <v>452</v>
      </c>
      <c r="B29" s="5" t="s">
        <v>405</v>
      </c>
      <c r="C29" s="5" t="s">
        <v>372</v>
      </c>
      <c r="D29" s="5" t="s">
        <v>102</v>
      </c>
      <c r="E29" s="5" t="s">
        <v>93</v>
      </c>
      <c r="F29" s="5" t="s">
        <v>29</v>
      </c>
      <c r="G29" s="5" t="s">
        <v>482</v>
      </c>
      <c r="H29" s="5" t="s">
        <v>486</v>
      </c>
      <c r="I29" s="5" t="s">
        <v>499</v>
      </c>
      <c r="J29" s="5" t="s">
        <v>505</v>
      </c>
      <c r="K29" s="5" t="s">
        <v>280</v>
      </c>
      <c r="L29" s="5">
        <v>50</v>
      </c>
      <c r="M29" s="6">
        <v>85</v>
      </c>
      <c r="N29" s="5">
        <v>5</v>
      </c>
      <c r="O29" s="5">
        <v>3</v>
      </c>
      <c r="P29" s="5">
        <v>2</v>
      </c>
      <c r="Q29" s="5">
        <v>2</v>
      </c>
      <c r="R29" s="5">
        <v>2</v>
      </c>
      <c r="S29" s="7">
        <f t="shared" si="0"/>
        <v>2</v>
      </c>
      <c r="T29" s="5" t="s">
        <v>519</v>
      </c>
    </row>
    <row r="30" spans="1:20" x14ac:dyDescent="0.2">
      <c r="A30" s="5" t="s">
        <v>442</v>
      </c>
      <c r="B30" s="5" t="s">
        <v>395</v>
      </c>
      <c r="C30" s="5" t="s">
        <v>372</v>
      </c>
      <c r="D30" s="5" t="s">
        <v>103</v>
      </c>
      <c r="E30" s="5" t="s">
        <v>93</v>
      </c>
      <c r="F30" s="5" t="s">
        <v>29</v>
      </c>
      <c r="G30" s="5" t="s">
        <v>482</v>
      </c>
      <c r="H30" s="5" t="s">
        <v>486</v>
      </c>
      <c r="I30" s="5" t="s">
        <v>499</v>
      </c>
      <c r="J30" s="5" t="s">
        <v>501</v>
      </c>
      <c r="K30" s="5" t="s">
        <v>285</v>
      </c>
      <c r="L30" s="5">
        <v>100</v>
      </c>
      <c r="M30" s="6">
        <v>75</v>
      </c>
      <c r="N30" s="5">
        <v>4</v>
      </c>
      <c r="O30" s="5">
        <v>4</v>
      </c>
      <c r="P30" s="5">
        <v>2</v>
      </c>
      <c r="Q30" s="5">
        <v>2</v>
      </c>
      <c r="R30" s="5">
        <v>3</v>
      </c>
      <c r="S30" s="7">
        <f t="shared" si="0"/>
        <v>2.65</v>
      </c>
      <c r="T30" s="5" t="s">
        <v>517</v>
      </c>
    </row>
    <row r="31" spans="1:20" x14ac:dyDescent="0.2">
      <c r="A31" s="5" t="s">
        <v>440</v>
      </c>
      <c r="B31" s="5" t="s">
        <v>393</v>
      </c>
      <c r="C31" s="5" t="s">
        <v>372</v>
      </c>
      <c r="D31" s="5" t="s">
        <v>104</v>
      </c>
      <c r="E31" s="5" t="s">
        <v>93</v>
      </c>
      <c r="F31" s="5" t="s">
        <v>29</v>
      </c>
      <c r="G31" s="5" t="s">
        <v>483</v>
      </c>
      <c r="H31" s="5" t="s">
        <v>488</v>
      </c>
      <c r="I31" s="5" t="s">
        <v>499</v>
      </c>
      <c r="J31" s="5" t="s">
        <v>395</v>
      </c>
      <c r="K31" s="5" t="s">
        <v>285</v>
      </c>
      <c r="L31" s="5">
        <v>100</v>
      </c>
      <c r="M31" s="6">
        <v>28</v>
      </c>
      <c r="N31" s="5">
        <v>5</v>
      </c>
      <c r="O31" s="5">
        <v>3</v>
      </c>
      <c r="P31" s="5">
        <v>2</v>
      </c>
      <c r="Q31" s="5">
        <v>2</v>
      </c>
      <c r="R31" s="5">
        <v>2</v>
      </c>
      <c r="S31" s="7">
        <f t="shared" si="0"/>
        <v>2</v>
      </c>
      <c r="T31" s="5" t="s">
        <v>519</v>
      </c>
    </row>
    <row r="32" spans="1:20" x14ac:dyDescent="0.2">
      <c r="A32" s="5" t="s">
        <v>453</v>
      </c>
      <c r="B32" s="5" t="s">
        <v>406</v>
      </c>
      <c r="C32" s="5" t="s">
        <v>372</v>
      </c>
      <c r="D32" s="5" t="s">
        <v>107</v>
      </c>
      <c r="E32" s="5" t="s">
        <v>105</v>
      </c>
      <c r="F32" s="5" t="s">
        <v>29</v>
      </c>
      <c r="G32" s="5" t="s">
        <v>484</v>
      </c>
      <c r="H32" s="5" t="s">
        <v>492</v>
      </c>
      <c r="I32" s="5" t="s">
        <v>499</v>
      </c>
      <c r="J32" s="5" t="s">
        <v>391</v>
      </c>
      <c r="K32" s="5" t="s">
        <v>281</v>
      </c>
      <c r="L32" s="5">
        <v>25</v>
      </c>
      <c r="M32" s="6">
        <v>420</v>
      </c>
      <c r="N32" s="5">
        <v>5</v>
      </c>
      <c r="O32" s="5">
        <v>4</v>
      </c>
      <c r="P32" s="5">
        <v>3</v>
      </c>
      <c r="Q32" s="5">
        <v>3</v>
      </c>
      <c r="R32" s="5">
        <v>4</v>
      </c>
      <c r="S32" s="7">
        <f t="shared" si="0"/>
        <v>2.9</v>
      </c>
      <c r="T32" s="5" t="s">
        <v>518</v>
      </c>
    </row>
    <row r="33" spans="1:20" x14ac:dyDescent="0.2">
      <c r="A33" s="5" t="s">
        <v>453</v>
      </c>
      <c r="B33" s="5" t="s">
        <v>406</v>
      </c>
      <c r="C33" s="5" t="s">
        <v>372</v>
      </c>
      <c r="D33" s="5" t="s">
        <v>108</v>
      </c>
      <c r="E33" s="5" t="s">
        <v>105</v>
      </c>
      <c r="F33" s="5" t="s">
        <v>29</v>
      </c>
      <c r="G33" s="5" t="s">
        <v>484</v>
      </c>
      <c r="H33" s="5" t="s">
        <v>492</v>
      </c>
      <c r="I33" s="5" t="s">
        <v>499</v>
      </c>
      <c r="J33" s="5" t="s">
        <v>506</v>
      </c>
      <c r="K33" s="5" t="s">
        <v>288</v>
      </c>
      <c r="L33" s="5">
        <v>25</v>
      </c>
      <c r="M33" s="6">
        <v>160</v>
      </c>
      <c r="N33" s="5">
        <v>5</v>
      </c>
      <c r="O33" s="5">
        <v>4</v>
      </c>
      <c r="P33" s="5">
        <v>3</v>
      </c>
      <c r="Q33" s="5">
        <v>3</v>
      </c>
      <c r="R33" s="5">
        <v>4</v>
      </c>
      <c r="S33" s="7">
        <f t="shared" si="0"/>
        <v>2.9</v>
      </c>
      <c r="T33" s="5" t="s">
        <v>518</v>
      </c>
    </row>
    <row r="34" spans="1:20" x14ac:dyDescent="0.2">
      <c r="A34" s="5" t="s">
        <v>453</v>
      </c>
      <c r="B34" s="5" t="s">
        <v>406</v>
      </c>
      <c r="C34" s="5" t="s">
        <v>372</v>
      </c>
      <c r="D34" s="5" t="s">
        <v>109</v>
      </c>
      <c r="E34" s="5" t="s">
        <v>105</v>
      </c>
      <c r="F34" s="5" t="s">
        <v>29</v>
      </c>
      <c r="G34" s="5" t="s">
        <v>484</v>
      </c>
      <c r="H34" s="5" t="s">
        <v>492</v>
      </c>
      <c r="I34" s="5" t="s">
        <v>499</v>
      </c>
      <c r="J34" s="5" t="s">
        <v>506</v>
      </c>
      <c r="K34" s="5" t="s">
        <v>288</v>
      </c>
      <c r="L34" s="5">
        <v>25</v>
      </c>
      <c r="M34" s="6">
        <v>145</v>
      </c>
      <c r="N34" s="5">
        <v>5</v>
      </c>
      <c r="O34" s="5">
        <v>4</v>
      </c>
      <c r="P34" s="5">
        <v>3</v>
      </c>
      <c r="Q34" s="5">
        <v>3</v>
      </c>
      <c r="R34" s="5">
        <v>4</v>
      </c>
      <c r="S34" s="7">
        <f t="shared" si="0"/>
        <v>2.9</v>
      </c>
      <c r="T34" s="5" t="s">
        <v>518</v>
      </c>
    </row>
    <row r="35" spans="1:20" x14ac:dyDescent="0.2">
      <c r="A35" s="5" t="s">
        <v>453</v>
      </c>
      <c r="B35" s="5" t="s">
        <v>406</v>
      </c>
      <c r="C35" s="5" t="s">
        <v>372</v>
      </c>
      <c r="D35" s="5" t="s">
        <v>110</v>
      </c>
      <c r="E35" s="5" t="s">
        <v>105</v>
      </c>
      <c r="F35" s="5" t="s">
        <v>29</v>
      </c>
      <c r="G35" s="5" t="s">
        <v>484</v>
      </c>
      <c r="H35" s="5" t="s">
        <v>492</v>
      </c>
      <c r="I35" s="5" t="s">
        <v>499</v>
      </c>
      <c r="J35" s="5" t="s">
        <v>506</v>
      </c>
      <c r="K35" s="5" t="s">
        <v>288</v>
      </c>
      <c r="L35" s="5">
        <v>25</v>
      </c>
      <c r="M35" s="6">
        <v>75</v>
      </c>
      <c r="N35" s="5">
        <v>5</v>
      </c>
      <c r="O35" s="5">
        <v>4</v>
      </c>
      <c r="P35" s="5">
        <v>3</v>
      </c>
      <c r="Q35" s="5">
        <v>3</v>
      </c>
      <c r="R35" s="5">
        <v>4</v>
      </c>
      <c r="S35" s="7">
        <f t="shared" si="0"/>
        <v>2.9</v>
      </c>
      <c r="T35" s="5" t="s">
        <v>518</v>
      </c>
    </row>
    <row r="36" spans="1:20" x14ac:dyDescent="0.2">
      <c r="A36" s="5" t="s">
        <v>438</v>
      </c>
      <c r="B36" s="5" t="s">
        <v>391</v>
      </c>
      <c r="C36" s="5" t="s">
        <v>372</v>
      </c>
      <c r="D36" s="5" t="s">
        <v>111</v>
      </c>
      <c r="E36" s="5" t="s">
        <v>105</v>
      </c>
      <c r="F36" s="5" t="s">
        <v>29</v>
      </c>
      <c r="G36" s="5" t="s">
        <v>483</v>
      </c>
      <c r="H36" s="5" t="s">
        <v>487</v>
      </c>
      <c r="I36" s="5" t="s">
        <v>499</v>
      </c>
      <c r="J36" s="5" t="s">
        <v>406</v>
      </c>
      <c r="K36" s="5" t="s">
        <v>288</v>
      </c>
      <c r="L36" s="5">
        <v>25</v>
      </c>
      <c r="M36" s="6">
        <v>90</v>
      </c>
      <c r="N36" s="5">
        <v>5</v>
      </c>
      <c r="O36" s="5">
        <v>4</v>
      </c>
      <c r="P36" s="5">
        <v>3</v>
      </c>
      <c r="Q36" s="5">
        <v>2</v>
      </c>
      <c r="R36" s="5">
        <v>4</v>
      </c>
      <c r="S36" s="7">
        <f t="shared" si="0"/>
        <v>2.75</v>
      </c>
      <c r="T36" s="5" t="s">
        <v>517</v>
      </c>
    </row>
    <row r="37" spans="1:20" x14ac:dyDescent="0.2">
      <c r="A37" s="5" t="s">
        <v>454</v>
      </c>
      <c r="B37" s="5" t="s">
        <v>407</v>
      </c>
      <c r="C37" s="5" t="s">
        <v>372</v>
      </c>
      <c r="D37" s="5" t="s">
        <v>112</v>
      </c>
      <c r="E37" s="5" t="s">
        <v>105</v>
      </c>
      <c r="F37" s="5" t="s">
        <v>0</v>
      </c>
      <c r="G37" s="5" t="s">
        <v>483</v>
      </c>
      <c r="H37" s="5" t="s">
        <v>490</v>
      </c>
      <c r="I37" s="5" t="s">
        <v>499</v>
      </c>
      <c r="J37" s="5" t="s">
        <v>408</v>
      </c>
      <c r="K37" s="5" t="s">
        <v>287</v>
      </c>
      <c r="L37" s="5">
        <v>10</v>
      </c>
      <c r="M37" s="6">
        <v>260</v>
      </c>
      <c r="N37" s="5">
        <v>5</v>
      </c>
      <c r="O37" s="5">
        <v>5</v>
      </c>
      <c r="P37" s="5">
        <v>4</v>
      </c>
      <c r="Q37" s="5">
        <v>2</v>
      </c>
      <c r="R37" s="5">
        <v>5</v>
      </c>
      <c r="S37" s="7">
        <f t="shared" si="0"/>
        <v>3.35</v>
      </c>
      <c r="T37" s="5" t="s">
        <v>518</v>
      </c>
    </row>
    <row r="38" spans="1:20" x14ac:dyDescent="0.2">
      <c r="A38" s="5" t="s">
        <v>455</v>
      </c>
      <c r="B38" s="5" t="s">
        <v>408</v>
      </c>
      <c r="C38" s="5" t="s">
        <v>372</v>
      </c>
      <c r="D38" s="5" t="s">
        <v>113</v>
      </c>
      <c r="E38" s="5" t="s">
        <v>105</v>
      </c>
      <c r="F38" s="5" t="s">
        <v>0</v>
      </c>
      <c r="G38" s="5" t="s">
        <v>483</v>
      </c>
      <c r="H38" s="5" t="s">
        <v>490</v>
      </c>
      <c r="I38" s="5" t="s">
        <v>499</v>
      </c>
      <c r="J38" s="5" t="s">
        <v>407</v>
      </c>
      <c r="K38" s="5" t="s">
        <v>287</v>
      </c>
      <c r="L38" s="5">
        <v>10</v>
      </c>
      <c r="M38" s="6">
        <v>180</v>
      </c>
      <c r="N38" s="5">
        <v>5</v>
      </c>
      <c r="O38" s="5">
        <v>5</v>
      </c>
      <c r="P38" s="5">
        <v>4</v>
      </c>
      <c r="Q38" s="5">
        <v>2</v>
      </c>
      <c r="R38" s="5">
        <v>5</v>
      </c>
      <c r="S38" s="7">
        <f t="shared" si="0"/>
        <v>3.35</v>
      </c>
      <c r="T38" s="5" t="s">
        <v>518</v>
      </c>
    </row>
    <row r="39" spans="1:20" x14ac:dyDescent="0.2">
      <c r="A39" s="5" t="s">
        <v>438</v>
      </c>
      <c r="B39" s="5" t="s">
        <v>391</v>
      </c>
      <c r="C39" s="5" t="s">
        <v>372</v>
      </c>
      <c r="D39" s="5" t="s">
        <v>114</v>
      </c>
      <c r="E39" s="5" t="s">
        <v>105</v>
      </c>
      <c r="F39" s="5" t="s">
        <v>0</v>
      </c>
      <c r="G39" s="5" t="s">
        <v>483</v>
      </c>
      <c r="H39" s="5" t="s">
        <v>487</v>
      </c>
      <c r="I39" s="5" t="s">
        <v>499</v>
      </c>
      <c r="J39" s="5" t="s">
        <v>408</v>
      </c>
      <c r="K39" s="5" t="s">
        <v>287</v>
      </c>
      <c r="L39" s="5">
        <v>10</v>
      </c>
      <c r="M39" s="6">
        <v>220</v>
      </c>
      <c r="N39" s="5">
        <v>5</v>
      </c>
      <c r="O39" s="5">
        <v>5</v>
      </c>
      <c r="P39" s="5">
        <v>4</v>
      </c>
      <c r="Q39" s="5">
        <v>2</v>
      </c>
      <c r="R39" s="5">
        <v>5</v>
      </c>
      <c r="S39" s="7">
        <f t="shared" si="0"/>
        <v>3.35</v>
      </c>
      <c r="T39" s="5" t="s">
        <v>518</v>
      </c>
    </row>
    <row r="40" spans="1:20" x14ac:dyDescent="0.2">
      <c r="A40" s="5" t="s">
        <v>440</v>
      </c>
      <c r="B40" s="5" t="s">
        <v>393</v>
      </c>
      <c r="C40" s="5" t="s">
        <v>372</v>
      </c>
      <c r="D40" s="5" t="s">
        <v>115</v>
      </c>
      <c r="E40" s="5" t="s">
        <v>105</v>
      </c>
      <c r="F40" s="5" t="s">
        <v>29</v>
      </c>
      <c r="G40" s="5" t="s">
        <v>483</v>
      </c>
      <c r="H40" s="5" t="s">
        <v>488</v>
      </c>
      <c r="I40" s="5" t="s">
        <v>499</v>
      </c>
      <c r="J40" s="5" t="s">
        <v>391</v>
      </c>
      <c r="K40" s="5" t="s">
        <v>285</v>
      </c>
      <c r="L40" s="5">
        <v>100</v>
      </c>
      <c r="M40" s="6">
        <v>55</v>
      </c>
      <c r="N40" s="5">
        <v>5</v>
      </c>
      <c r="O40" s="5">
        <v>3</v>
      </c>
      <c r="P40" s="5">
        <v>2</v>
      </c>
      <c r="Q40" s="5">
        <v>2</v>
      </c>
      <c r="R40" s="5">
        <v>2</v>
      </c>
      <c r="S40" s="7">
        <f t="shared" si="0"/>
        <v>2</v>
      </c>
      <c r="T40" s="5" t="s">
        <v>519</v>
      </c>
    </row>
    <row r="41" spans="1:20" x14ac:dyDescent="0.2">
      <c r="A41" s="5" t="s">
        <v>456</v>
      </c>
      <c r="B41" s="5" t="s">
        <v>409</v>
      </c>
      <c r="C41" s="5" t="s">
        <v>372</v>
      </c>
      <c r="D41" s="5" t="s">
        <v>116</v>
      </c>
      <c r="E41" s="5" t="s">
        <v>105</v>
      </c>
      <c r="F41" s="5" t="s">
        <v>61</v>
      </c>
      <c r="G41" s="5" t="s">
        <v>482</v>
      </c>
      <c r="H41" s="5" t="s">
        <v>486</v>
      </c>
      <c r="I41" s="5" t="s">
        <v>499</v>
      </c>
      <c r="J41" s="5" t="s">
        <v>399</v>
      </c>
      <c r="K41" s="5" t="s">
        <v>290</v>
      </c>
      <c r="L41" s="8">
        <v>1000</v>
      </c>
      <c r="M41" s="6">
        <v>18</v>
      </c>
      <c r="N41" s="5">
        <v>4</v>
      </c>
      <c r="O41" s="5">
        <v>2</v>
      </c>
      <c r="P41" s="5">
        <v>1</v>
      </c>
      <c r="Q41" s="5">
        <v>2</v>
      </c>
      <c r="R41" s="5">
        <v>1</v>
      </c>
      <c r="S41" s="7">
        <f t="shared" si="0"/>
        <v>1.65</v>
      </c>
      <c r="T41" s="5" t="s">
        <v>519</v>
      </c>
    </row>
    <row r="42" spans="1:20" x14ac:dyDescent="0.2">
      <c r="A42" s="5" t="s">
        <v>450</v>
      </c>
      <c r="B42" s="5" t="s">
        <v>403</v>
      </c>
      <c r="C42" s="5" t="s">
        <v>372</v>
      </c>
      <c r="D42" s="5" t="s">
        <v>120</v>
      </c>
      <c r="E42" s="5" t="s">
        <v>117</v>
      </c>
      <c r="F42" s="5" t="s">
        <v>17</v>
      </c>
      <c r="G42" s="5" t="s">
        <v>483</v>
      </c>
      <c r="H42" s="5" t="s">
        <v>490</v>
      </c>
      <c r="I42" s="5" t="s">
        <v>499</v>
      </c>
      <c r="J42" s="5" t="s">
        <v>389</v>
      </c>
      <c r="K42" s="5" t="s">
        <v>281</v>
      </c>
      <c r="L42" s="5">
        <v>10</v>
      </c>
      <c r="M42" s="6">
        <v>420</v>
      </c>
      <c r="N42" s="5">
        <v>5</v>
      </c>
      <c r="O42" s="5">
        <v>4</v>
      </c>
      <c r="P42" s="5">
        <v>4</v>
      </c>
      <c r="Q42" s="5">
        <v>2</v>
      </c>
      <c r="R42" s="5">
        <v>3</v>
      </c>
      <c r="S42" s="7">
        <f t="shared" si="0"/>
        <v>2.8</v>
      </c>
      <c r="T42" s="5" t="s">
        <v>517</v>
      </c>
    </row>
    <row r="43" spans="1:20" x14ac:dyDescent="0.2">
      <c r="A43" s="5" t="s">
        <v>450</v>
      </c>
      <c r="B43" s="5" t="s">
        <v>403</v>
      </c>
      <c r="C43" s="5" t="s">
        <v>372</v>
      </c>
      <c r="D43" s="5" t="s">
        <v>121</v>
      </c>
      <c r="E43" s="5" t="s">
        <v>117</v>
      </c>
      <c r="F43" s="5" t="s">
        <v>17</v>
      </c>
      <c r="G43" s="5" t="s">
        <v>483</v>
      </c>
      <c r="H43" s="5" t="s">
        <v>490</v>
      </c>
      <c r="I43" s="5" t="s">
        <v>499</v>
      </c>
      <c r="J43" s="5" t="s">
        <v>410</v>
      </c>
      <c r="K43" s="5" t="s">
        <v>281</v>
      </c>
      <c r="L43" s="5">
        <v>10</v>
      </c>
      <c r="M43" s="6">
        <v>460</v>
      </c>
      <c r="N43" s="5">
        <v>5</v>
      </c>
      <c r="O43" s="5">
        <v>4</v>
      </c>
      <c r="P43" s="5">
        <v>4</v>
      </c>
      <c r="Q43" s="5">
        <v>2</v>
      </c>
      <c r="R43" s="5">
        <v>3</v>
      </c>
      <c r="S43" s="7">
        <f t="shared" si="0"/>
        <v>2.8</v>
      </c>
      <c r="T43" s="5" t="s">
        <v>517</v>
      </c>
    </row>
    <row r="44" spans="1:20" x14ac:dyDescent="0.2">
      <c r="A44" s="5" t="s">
        <v>436</v>
      </c>
      <c r="B44" s="5" t="s">
        <v>389</v>
      </c>
      <c r="C44" s="5" t="s">
        <v>373</v>
      </c>
      <c r="D44" s="5" t="s">
        <v>122</v>
      </c>
      <c r="E44" s="5" t="s">
        <v>117</v>
      </c>
      <c r="F44" s="5" t="s">
        <v>17</v>
      </c>
      <c r="G44" s="5" t="s">
        <v>482</v>
      </c>
      <c r="H44" s="5" t="s">
        <v>485</v>
      </c>
      <c r="I44" s="5" t="s">
        <v>499</v>
      </c>
      <c r="J44" s="5" t="s">
        <v>403</v>
      </c>
      <c r="K44" s="5" t="s">
        <v>288</v>
      </c>
      <c r="L44" s="5">
        <v>10</v>
      </c>
      <c r="M44" s="6">
        <v>85</v>
      </c>
      <c r="N44" s="5">
        <v>5</v>
      </c>
      <c r="O44" s="5">
        <v>4</v>
      </c>
      <c r="P44" s="5">
        <v>3</v>
      </c>
      <c r="Q44" s="5">
        <v>2</v>
      </c>
      <c r="R44" s="5">
        <v>3</v>
      </c>
      <c r="S44" s="7">
        <f t="shared" si="0"/>
        <v>2.6</v>
      </c>
      <c r="T44" s="5" t="s">
        <v>517</v>
      </c>
    </row>
    <row r="45" spans="1:20" x14ac:dyDescent="0.2">
      <c r="A45" s="5" t="s">
        <v>457</v>
      </c>
      <c r="B45" s="5" t="s">
        <v>410</v>
      </c>
      <c r="C45" s="5" t="s">
        <v>372</v>
      </c>
      <c r="D45" s="5" t="s">
        <v>123</v>
      </c>
      <c r="E45" s="5" t="s">
        <v>117</v>
      </c>
      <c r="F45" s="5" t="s">
        <v>38</v>
      </c>
      <c r="G45" s="5" t="s">
        <v>483</v>
      </c>
      <c r="H45" s="5" t="s">
        <v>493</v>
      </c>
      <c r="I45" s="5" t="s">
        <v>499</v>
      </c>
      <c r="J45" s="5" t="s">
        <v>389</v>
      </c>
      <c r="K45" s="5" t="s">
        <v>288</v>
      </c>
      <c r="L45" s="5">
        <v>10</v>
      </c>
      <c r="M45" s="6">
        <v>120</v>
      </c>
      <c r="N45" s="5">
        <v>5</v>
      </c>
      <c r="O45" s="5">
        <v>4</v>
      </c>
      <c r="P45" s="5">
        <v>3</v>
      </c>
      <c r="Q45" s="5">
        <v>2</v>
      </c>
      <c r="R45" s="5">
        <v>3</v>
      </c>
      <c r="S45" s="7">
        <f t="shared" si="0"/>
        <v>2.6</v>
      </c>
      <c r="T45" s="5" t="s">
        <v>517</v>
      </c>
    </row>
    <row r="46" spans="1:20" x14ac:dyDescent="0.2">
      <c r="A46" s="5" t="s">
        <v>457</v>
      </c>
      <c r="B46" s="5" t="s">
        <v>410</v>
      </c>
      <c r="C46" s="5" t="s">
        <v>372</v>
      </c>
      <c r="D46" s="5" t="s">
        <v>124</v>
      </c>
      <c r="E46" s="5" t="s">
        <v>117</v>
      </c>
      <c r="F46" s="5" t="s">
        <v>38</v>
      </c>
      <c r="G46" s="5" t="s">
        <v>483</v>
      </c>
      <c r="H46" s="5" t="s">
        <v>493</v>
      </c>
      <c r="I46" s="5" t="s">
        <v>499</v>
      </c>
      <c r="J46" s="5" t="s">
        <v>389</v>
      </c>
      <c r="K46" s="5" t="s">
        <v>288</v>
      </c>
      <c r="L46" s="5">
        <v>10</v>
      </c>
      <c r="M46" s="6">
        <v>110</v>
      </c>
      <c r="N46" s="5">
        <v>5</v>
      </c>
      <c r="O46" s="5">
        <v>4</v>
      </c>
      <c r="P46" s="5">
        <v>3</v>
      </c>
      <c r="Q46" s="5">
        <v>2</v>
      </c>
      <c r="R46" s="5">
        <v>3</v>
      </c>
      <c r="S46" s="7">
        <f t="shared" si="0"/>
        <v>2.6</v>
      </c>
      <c r="T46" s="5" t="s">
        <v>517</v>
      </c>
    </row>
    <row r="47" spans="1:20" x14ac:dyDescent="0.2">
      <c r="A47" s="5" t="s">
        <v>436</v>
      </c>
      <c r="B47" s="5" t="s">
        <v>389</v>
      </c>
      <c r="C47" s="5" t="s">
        <v>373</v>
      </c>
      <c r="D47" s="5" t="s">
        <v>125</v>
      </c>
      <c r="E47" s="5" t="s">
        <v>117</v>
      </c>
      <c r="F47" s="5" t="s">
        <v>118</v>
      </c>
      <c r="G47" s="5" t="s">
        <v>482</v>
      </c>
      <c r="H47" s="5" t="s">
        <v>485</v>
      </c>
      <c r="I47" s="5" t="s">
        <v>499</v>
      </c>
      <c r="J47" s="5" t="s">
        <v>410</v>
      </c>
      <c r="K47" s="5" t="s">
        <v>281</v>
      </c>
      <c r="L47" s="5">
        <v>10</v>
      </c>
      <c r="M47" s="6">
        <v>340</v>
      </c>
      <c r="N47" s="5">
        <v>5</v>
      </c>
      <c r="O47" s="5">
        <v>3</v>
      </c>
      <c r="P47" s="5">
        <v>3</v>
      </c>
      <c r="Q47" s="5">
        <v>2</v>
      </c>
      <c r="R47" s="5">
        <v>3</v>
      </c>
      <c r="S47" s="7">
        <f t="shared" si="0"/>
        <v>2.35</v>
      </c>
      <c r="T47" s="5" t="s">
        <v>517</v>
      </c>
    </row>
    <row r="48" spans="1:20" x14ac:dyDescent="0.2">
      <c r="A48" s="5" t="s">
        <v>436</v>
      </c>
      <c r="B48" s="5" t="s">
        <v>389</v>
      </c>
      <c r="C48" s="5" t="s">
        <v>373</v>
      </c>
      <c r="D48" s="5" t="s">
        <v>126</v>
      </c>
      <c r="E48" s="5" t="s">
        <v>117</v>
      </c>
      <c r="F48" s="5" t="s">
        <v>118</v>
      </c>
      <c r="G48" s="5" t="s">
        <v>482</v>
      </c>
      <c r="H48" s="5" t="s">
        <v>485</v>
      </c>
      <c r="I48" s="5" t="s">
        <v>499</v>
      </c>
      <c r="J48" s="5" t="s">
        <v>410</v>
      </c>
      <c r="K48" s="5" t="s">
        <v>281</v>
      </c>
      <c r="L48" s="5">
        <v>10</v>
      </c>
      <c r="M48" s="6">
        <v>340</v>
      </c>
      <c r="N48" s="5">
        <v>5</v>
      </c>
      <c r="O48" s="5">
        <v>3</v>
      </c>
      <c r="P48" s="5">
        <v>3</v>
      </c>
      <c r="Q48" s="5">
        <v>2</v>
      </c>
      <c r="R48" s="5">
        <v>3</v>
      </c>
      <c r="S48" s="7">
        <f t="shared" si="0"/>
        <v>2.35</v>
      </c>
      <c r="T48" s="5" t="s">
        <v>517</v>
      </c>
    </row>
    <row r="49" spans="1:20" x14ac:dyDescent="0.2">
      <c r="A49" s="5" t="s">
        <v>436</v>
      </c>
      <c r="B49" s="5" t="s">
        <v>389</v>
      </c>
      <c r="C49" s="5" t="s">
        <v>373</v>
      </c>
      <c r="D49" s="5" t="s">
        <v>127</v>
      </c>
      <c r="E49" s="5" t="s">
        <v>117</v>
      </c>
      <c r="F49" s="5" t="s">
        <v>118</v>
      </c>
      <c r="G49" s="5" t="s">
        <v>482</v>
      </c>
      <c r="H49" s="5" t="s">
        <v>485</v>
      </c>
      <c r="I49" s="5" t="s">
        <v>499</v>
      </c>
      <c r="J49" s="5" t="s">
        <v>410</v>
      </c>
      <c r="K49" s="5" t="s">
        <v>281</v>
      </c>
      <c r="L49" s="5">
        <v>10</v>
      </c>
      <c r="M49" s="6">
        <v>340</v>
      </c>
      <c r="N49" s="5">
        <v>5</v>
      </c>
      <c r="O49" s="5">
        <v>3</v>
      </c>
      <c r="P49" s="5">
        <v>3</v>
      </c>
      <c r="Q49" s="5">
        <v>2</v>
      </c>
      <c r="R49" s="5">
        <v>3</v>
      </c>
      <c r="S49" s="7">
        <f t="shared" si="0"/>
        <v>2.35</v>
      </c>
      <c r="T49" s="5" t="s">
        <v>517</v>
      </c>
    </row>
    <row r="50" spans="1:20" x14ac:dyDescent="0.2">
      <c r="A50" s="5" t="s">
        <v>436</v>
      </c>
      <c r="B50" s="5" t="s">
        <v>389</v>
      </c>
      <c r="C50" s="5" t="s">
        <v>373</v>
      </c>
      <c r="D50" s="5" t="s">
        <v>128</v>
      </c>
      <c r="E50" s="5" t="s">
        <v>117</v>
      </c>
      <c r="F50" s="5" t="s">
        <v>118</v>
      </c>
      <c r="G50" s="5" t="s">
        <v>482</v>
      </c>
      <c r="H50" s="5" t="s">
        <v>485</v>
      </c>
      <c r="I50" s="5" t="s">
        <v>499</v>
      </c>
      <c r="J50" s="5" t="s">
        <v>410</v>
      </c>
      <c r="K50" s="5" t="s">
        <v>281</v>
      </c>
      <c r="L50" s="5">
        <v>10</v>
      </c>
      <c r="M50" s="6">
        <v>340</v>
      </c>
      <c r="N50" s="5">
        <v>5</v>
      </c>
      <c r="O50" s="5">
        <v>3</v>
      </c>
      <c r="P50" s="5">
        <v>3</v>
      </c>
      <c r="Q50" s="5">
        <v>2</v>
      </c>
      <c r="R50" s="5">
        <v>3</v>
      </c>
      <c r="S50" s="7">
        <f t="shared" si="0"/>
        <v>2.35</v>
      </c>
      <c r="T50" s="5" t="s">
        <v>517</v>
      </c>
    </row>
    <row r="51" spans="1:20" x14ac:dyDescent="0.2">
      <c r="A51" s="5" t="s">
        <v>457</v>
      </c>
      <c r="B51" s="5" t="s">
        <v>410</v>
      </c>
      <c r="C51" s="5" t="s">
        <v>372</v>
      </c>
      <c r="D51" s="5" t="s">
        <v>129</v>
      </c>
      <c r="E51" s="5" t="s">
        <v>117</v>
      </c>
      <c r="F51" s="5" t="s">
        <v>118</v>
      </c>
      <c r="G51" s="5" t="s">
        <v>483</v>
      </c>
      <c r="H51" s="5" t="s">
        <v>493</v>
      </c>
      <c r="I51" s="5" t="s">
        <v>499</v>
      </c>
      <c r="J51" s="5" t="s">
        <v>389</v>
      </c>
      <c r="K51" s="5" t="s">
        <v>288</v>
      </c>
      <c r="L51" s="5">
        <v>10</v>
      </c>
      <c r="M51" s="6">
        <v>260</v>
      </c>
      <c r="N51" s="5">
        <v>5</v>
      </c>
      <c r="O51" s="5">
        <v>3</v>
      </c>
      <c r="P51" s="5">
        <v>2</v>
      </c>
      <c r="Q51" s="5">
        <v>2</v>
      </c>
      <c r="R51" s="5">
        <v>2</v>
      </c>
      <c r="S51" s="7">
        <f t="shared" si="0"/>
        <v>2</v>
      </c>
      <c r="T51" s="5" t="s">
        <v>519</v>
      </c>
    </row>
    <row r="52" spans="1:20" x14ac:dyDescent="0.2">
      <c r="A52" s="5" t="s">
        <v>457</v>
      </c>
      <c r="B52" s="5" t="s">
        <v>410</v>
      </c>
      <c r="C52" s="5" t="s">
        <v>372</v>
      </c>
      <c r="D52" s="5" t="s">
        <v>130</v>
      </c>
      <c r="E52" s="5" t="s">
        <v>117</v>
      </c>
      <c r="F52" s="5" t="s">
        <v>118</v>
      </c>
      <c r="G52" s="5" t="s">
        <v>483</v>
      </c>
      <c r="H52" s="5" t="s">
        <v>493</v>
      </c>
      <c r="I52" s="5" t="s">
        <v>499</v>
      </c>
      <c r="J52" s="5" t="s">
        <v>389</v>
      </c>
      <c r="K52" s="5" t="s">
        <v>288</v>
      </c>
      <c r="L52" s="5">
        <v>10</v>
      </c>
      <c r="M52" s="6">
        <v>320</v>
      </c>
      <c r="N52" s="5">
        <v>5</v>
      </c>
      <c r="O52" s="5">
        <v>3</v>
      </c>
      <c r="P52" s="5">
        <v>2</v>
      </c>
      <c r="Q52" s="5">
        <v>2</v>
      </c>
      <c r="R52" s="5">
        <v>2</v>
      </c>
      <c r="S52" s="7">
        <f t="shared" si="0"/>
        <v>2</v>
      </c>
      <c r="T52" s="5" t="s">
        <v>519</v>
      </c>
    </row>
    <row r="53" spans="1:20" x14ac:dyDescent="0.2">
      <c r="A53" s="5" t="s">
        <v>457</v>
      </c>
      <c r="B53" s="5" t="s">
        <v>410</v>
      </c>
      <c r="C53" s="5" t="s">
        <v>372</v>
      </c>
      <c r="D53" s="5" t="s">
        <v>131</v>
      </c>
      <c r="E53" s="5" t="s">
        <v>117</v>
      </c>
      <c r="F53" s="5" t="s">
        <v>118</v>
      </c>
      <c r="G53" s="5" t="s">
        <v>483</v>
      </c>
      <c r="H53" s="5" t="s">
        <v>493</v>
      </c>
      <c r="I53" s="5" t="s">
        <v>499</v>
      </c>
      <c r="J53" s="5" t="s">
        <v>389</v>
      </c>
      <c r="K53" s="5" t="s">
        <v>288</v>
      </c>
      <c r="L53" s="5">
        <v>10</v>
      </c>
      <c r="M53" s="6">
        <v>280</v>
      </c>
      <c r="N53" s="5">
        <v>5</v>
      </c>
      <c r="O53" s="5">
        <v>3</v>
      </c>
      <c r="P53" s="5">
        <v>2</v>
      </c>
      <c r="Q53" s="5">
        <v>2</v>
      </c>
      <c r="R53" s="5">
        <v>2</v>
      </c>
      <c r="S53" s="7">
        <f t="shared" si="0"/>
        <v>2</v>
      </c>
      <c r="T53" s="5" t="s">
        <v>519</v>
      </c>
    </row>
    <row r="54" spans="1:20" x14ac:dyDescent="0.2">
      <c r="A54" s="5" t="s">
        <v>457</v>
      </c>
      <c r="B54" s="5" t="s">
        <v>410</v>
      </c>
      <c r="C54" s="5" t="s">
        <v>372</v>
      </c>
      <c r="D54" s="5" t="s">
        <v>132</v>
      </c>
      <c r="E54" s="5" t="s">
        <v>117</v>
      </c>
      <c r="F54" s="5" t="s">
        <v>118</v>
      </c>
      <c r="G54" s="5" t="s">
        <v>483</v>
      </c>
      <c r="H54" s="5" t="s">
        <v>493</v>
      </c>
      <c r="I54" s="5" t="s">
        <v>499</v>
      </c>
      <c r="J54" s="5" t="s">
        <v>389</v>
      </c>
      <c r="K54" s="5" t="s">
        <v>288</v>
      </c>
      <c r="L54" s="5">
        <v>10</v>
      </c>
      <c r="M54" s="6">
        <v>220</v>
      </c>
      <c r="N54" s="5">
        <v>5</v>
      </c>
      <c r="O54" s="5">
        <v>3</v>
      </c>
      <c r="P54" s="5">
        <v>2</v>
      </c>
      <c r="Q54" s="5">
        <v>2</v>
      </c>
      <c r="R54" s="5">
        <v>2</v>
      </c>
      <c r="S54" s="7">
        <f t="shared" si="0"/>
        <v>2</v>
      </c>
      <c r="T54" s="5" t="s">
        <v>519</v>
      </c>
    </row>
    <row r="55" spans="1:20" x14ac:dyDescent="0.2">
      <c r="A55" s="5" t="s">
        <v>458</v>
      </c>
      <c r="B55" s="5" t="s">
        <v>411</v>
      </c>
      <c r="C55" s="5" t="s">
        <v>372</v>
      </c>
      <c r="D55" s="5" t="s">
        <v>133</v>
      </c>
      <c r="E55" s="5" t="s">
        <v>117</v>
      </c>
      <c r="F55" s="5" t="s">
        <v>41</v>
      </c>
      <c r="G55" s="5" t="s">
        <v>483</v>
      </c>
      <c r="H55" s="5" t="s">
        <v>490</v>
      </c>
      <c r="I55" s="5" t="s">
        <v>499</v>
      </c>
      <c r="J55" s="5" t="s">
        <v>426</v>
      </c>
      <c r="K55" s="5" t="s">
        <v>286</v>
      </c>
      <c r="L55" s="5">
        <v>50</v>
      </c>
      <c r="M55" s="6">
        <v>45</v>
      </c>
      <c r="N55" s="5">
        <v>5</v>
      </c>
      <c r="O55" s="5">
        <v>4</v>
      </c>
      <c r="P55" s="5">
        <v>2</v>
      </c>
      <c r="Q55" s="5">
        <v>2</v>
      </c>
      <c r="R55" s="5">
        <v>3</v>
      </c>
      <c r="S55" s="7">
        <f t="shared" si="0"/>
        <v>2.4</v>
      </c>
      <c r="T55" s="5" t="s">
        <v>517</v>
      </c>
    </row>
    <row r="56" spans="1:20" x14ac:dyDescent="0.2">
      <c r="A56" s="5" t="s">
        <v>446</v>
      </c>
      <c r="B56" s="5" t="s">
        <v>399</v>
      </c>
      <c r="C56" s="5" t="s">
        <v>372</v>
      </c>
      <c r="D56" s="5" t="s">
        <v>134</v>
      </c>
      <c r="E56" s="5" t="s">
        <v>117</v>
      </c>
      <c r="F56" s="5" t="s">
        <v>61</v>
      </c>
      <c r="G56" s="5" t="s">
        <v>483</v>
      </c>
      <c r="H56" s="5" t="s">
        <v>488</v>
      </c>
      <c r="I56" s="5" t="s">
        <v>499</v>
      </c>
      <c r="J56" s="5" t="s">
        <v>503</v>
      </c>
      <c r="K56" s="5" t="s">
        <v>290</v>
      </c>
      <c r="L56" s="8">
        <v>1000</v>
      </c>
      <c r="M56" s="6">
        <v>85</v>
      </c>
      <c r="N56" s="5">
        <v>4</v>
      </c>
      <c r="O56" s="5">
        <v>2</v>
      </c>
      <c r="P56" s="5">
        <v>1</v>
      </c>
      <c r="Q56" s="5">
        <v>2</v>
      </c>
      <c r="R56" s="5">
        <v>1</v>
      </c>
      <c r="S56" s="7">
        <f t="shared" si="0"/>
        <v>1.65</v>
      </c>
      <c r="T56" s="5" t="s">
        <v>519</v>
      </c>
    </row>
    <row r="57" spans="1:20" x14ac:dyDescent="0.2">
      <c r="A57" s="5" t="s">
        <v>459</v>
      </c>
      <c r="B57" s="5" t="s">
        <v>412</v>
      </c>
      <c r="C57" s="5" t="s">
        <v>372</v>
      </c>
      <c r="D57" s="5" t="s">
        <v>137</v>
      </c>
      <c r="E57" s="5" t="s">
        <v>135</v>
      </c>
      <c r="F57" s="5" t="s">
        <v>35</v>
      </c>
      <c r="G57" s="5" t="s">
        <v>484</v>
      </c>
      <c r="H57" s="5" t="s">
        <v>492</v>
      </c>
      <c r="I57" s="5" t="s">
        <v>499</v>
      </c>
      <c r="J57" s="5" t="s">
        <v>414</v>
      </c>
      <c r="K57" s="5" t="s">
        <v>280</v>
      </c>
      <c r="L57" s="5">
        <v>25</v>
      </c>
      <c r="M57" s="6">
        <v>95</v>
      </c>
      <c r="N57" s="5">
        <v>5</v>
      </c>
      <c r="O57" s="5">
        <v>4</v>
      </c>
      <c r="P57" s="5">
        <v>3</v>
      </c>
      <c r="Q57" s="5">
        <v>3</v>
      </c>
      <c r="R57" s="5">
        <v>3</v>
      </c>
      <c r="S57" s="7">
        <f t="shared" si="0"/>
        <v>2.75</v>
      </c>
      <c r="T57" s="5" t="s">
        <v>517</v>
      </c>
    </row>
    <row r="58" spans="1:20" x14ac:dyDescent="0.2">
      <c r="A58" s="5" t="s">
        <v>459</v>
      </c>
      <c r="B58" s="5" t="s">
        <v>412</v>
      </c>
      <c r="C58" s="5" t="s">
        <v>372</v>
      </c>
      <c r="D58" s="5" t="s">
        <v>138</v>
      </c>
      <c r="E58" s="5" t="s">
        <v>135</v>
      </c>
      <c r="F58" s="5" t="s">
        <v>35</v>
      </c>
      <c r="G58" s="5" t="s">
        <v>484</v>
      </c>
      <c r="H58" s="5" t="s">
        <v>492</v>
      </c>
      <c r="I58" s="5" t="s">
        <v>499</v>
      </c>
      <c r="J58" s="5" t="s">
        <v>415</v>
      </c>
      <c r="K58" s="5" t="s">
        <v>280</v>
      </c>
      <c r="L58" s="5">
        <v>25</v>
      </c>
      <c r="M58" s="6">
        <v>160</v>
      </c>
      <c r="N58" s="5">
        <v>5</v>
      </c>
      <c r="O58" s="5">
        <v>4</v>
      </c>
      <c r="P58" s="5">
        <v>3</v>
      </c>
      <c r="Q58" s="5">
        <v>3</v>
      </c>
      <c r="R58" s="5">
        <v>3</v>
      </c>
      <c r="S58" s="7">
        <f t="shared" si="0"/>
        <v>2.75</v>
      </c>
      <c r="T58" s="5" t="s">
        <v>517</v>
      </c>
    </row>
    <row r="59" spans="1:20" x14ac:dyDescent="0.2">
      <c r="A59" s="5" t="s">
        <v>460</v>
      </c>
      <c r="B59" s="5" t="s">
        <v>413</v>
      </c>
      <c r="C59" s="5" t="s">
        <v>372</v>
      </c>
      <c r="D59" s="5" t="s">
        <v>139</v>
      </c>
      <c r="E59" s="5" t="s">
        <v>135</v>
      </c>
      <c r="F59" s="5" t="s">
        <v>35</v>
      </c>
      <c r="G59" s="5" t="s">
        <v>483</v>
      </c>
      <c r="H59" s="5" t="s">
        <v>494</v>
      </c>
      <c r="I59" s="5" t="s">
        <v>499</v>
      </c>
      <c r="J59" s="5" t="s">
        <v>412</v>
      </c>
      <c r="K59" s="5" t="s">
        <v>288</v>
      </c>
      <c r="L59" s="5">
        <v>25</v>
      </c>
      <c r="M59" s="6">
        <v>140</v>
      </c>
      <c r="N59" s="5">
        <v>5</v>
      </c>
      <c r="O59" s="5">
        <v>4</v>
      </c>
      <c r="P59" s="5">
        <v>3</v>
      </c>
      <c r="Q59" s="5">
        <v>2</v>
      </c>
      <c r="R59" s="5">
        <v>3</v>
      </c>
      <c r="S59" s="7">
        <f t="shared" si="0"/>
        <v>2.6</v>
      </c>
      <c r="T59" s="5" t="s">
        <v>517</v>
      </c>
    </row>
    <row r="60" spans="1:20" x14ac:dyDescent="0.2">
      <c r="A60" s="5" t="s">
        <v>461</v>
      </c>
      <c r="B60" s="5" t="s">
        <v>414</v>
      </c>
      <c r="C60" s="5" t="s">
        <v>372</v>
      </c>
      <c r="D60" s="5" t="s">
        <v>140</v>
      </c>
      <c r="E60" s="5" t="s">
        <v>135</v>
      </c>
      <c r="F60" s="5" t="s">
        <v>35</v>
      </c>
      <c r="G60" s="5" t="s">
        <v>484</v>
      </c>
      <c r="H60" s="5" t="s">
        <v>495</v>
      </c>
      <c r="I60" s="5" t="s">
        <v>499</v>
      </c>
      <c r="J60" s="5" t="s">
        <v>413</v>
      </c>
      <c r="K60" s="5" t="s">
        <v>288</v>
      </c>
      <c r="L60" s="5">
        <v>25</v>
      </c>
      <c r="M60" s="6">
        <v>220</v>
      </c>
      <c r="N60" s="5">
        <v>5</v>
      </c>
      <c r="O60" s="5">
        <v>4</v>
      </c>
      <c r="P60" s="5">
        <v>3</v>
      </c>
      <c r="Q60" s="5">
        <v>3</v>
      </c>
      <c r="R60" s="5">
        <v>4</v>
      </c>
      <c r="S60" s="7">
        <f t="shared" si="0"/>
        <v>2.9</v>
      </c>
      <c r="T60" s="5" t="s">
        <v>518</v>
      </c>
    </row>
    <row r="61" spans="1:20" x14ac:dyDescent="0.2">
      <c r="A61" s="5" t="s">
        <v>459</v>
      </c>
      <c r="B61" s="5" t="s">
        <v>412</v>
      </c>
      <c r="C61" s="5" t="s">
        <v>373</v>
      </c>
      <c r="D61" s="5" t="s">
        <v>141</v>
      </c>
      <c r="E61" s="5" t="s">
        <v>135</v>
      </c>
      <c r="F61" s="5" t="s">
        <v>35</v>
      </c>
      <c r="G61" s="5" t="s">
        <v>484</v>
      </c>
      <c r="H61" s="5" t="s">
        <v>492</v>
      </c>
      <c r="I61" s="5" t="s">
        <v>499</v>
      </c>
      <c r="J61" s="5" t="s">
        <v>413</v>
      </c>
      <c r="K61" s="5" t="s">
        <v>283</v>
      </c>
      <c r="L61" s="5">
        <v>25</v>
      </c>
      <c r="M61" s="6">
        <v>65</v>
      </c>
      <c r="N61" s="5">
        <v>5</v>
      </c>
      <c r="O61" s="5">
        <v>3</v>
      </c>
      <c r="P61" s="5">
        <v>2</v>
      </c>
      <c r="Q61" s="5">
        <v>3</v>
      </c>
      <c r="R61" s="5">
        <v>2</v>
      </c>
      <c r="S61" s="7">
        <f t="shared" si="0"/>
        <v>2.15</v>
      </c>
      <c r="T61" s="5" t="s">
        <v>519</v>
      </c>
    </row>
    <row r="62" spans="1:20" x14ac:dyDescent="0.2">
      <c r="A62" s="5" t="s">
        <v>444</v>
      </c>
      <c r="B62" s="5" t="s">
        <v>397</v>
      </c>
      <c r="C62" s="5" t="s">
        <v>372</v>
      </c>
      <c r="D62" s="5" t="s">
        <v>142</v>
      </c>
      <c r="E62" s="5" t="s">
        <v>135</v>
      </c>
      <c r="F62" s="5" t="s">
        <v>35</v>
      </c>
      <c r="G62" s="5" t="s">
        <v>483</v>
      </c>
      <c r="H62" s="5" t="s">
        <v>489</v>
      </c>
      <c r="I62" s="5" t="s">
        <v>499</v>
      </c>
      <c r="J62" s="5" t="s">
        <v>502</v>
      </c>
      <c r="K62" s="5" t="s">
        <v>283</v>
      </c>
      <c r="L62" s="5">
        <v>50</v>
      </c>
      <c r="M62" s="6">
        <v>90</v>
      </c>
      <c r="N62" s="5">
        <v>4</v>
      </c>
      <c r="O62" s="5">
        <v>3</v>
      </c>
      <c r="P62" s="5">
        <v>2</v>
      </c>
      <c r="Q62" s="5">
        <v>2</v>
      </c>
      <c r="R62" s="5">
        <v>2</v>
      </c>
      <c r="S62" s="7">
        <f t="shared" si="0"/>
        <v>2.25</v>
      </c>
      <c r="T62" s="5" t="s">
        <v>519</v>
      </c>
    </row>
    <row r="63" spans="1:20" x14ac:dyDescent="0.2">
      <c r="A63" s="5" t="s">
        <v>462</v>
      </c>
      <c r="B63" s="5" t="s">
        <v>415</v>
      </c>
      <c r="C63" s="5" t="s">
        <v>372</v>
      </c>
      <c r="D63" s="5" t="s">
        <v>143</v>
      </c>
      <c r="E63" s="5" t="s">
        <v>135</v>
      </c>
      <c r="F63" s="5" t="s">
        <v>35</v>
      </c>
      <c r="G63" s="5" t="s">
        <v>483</v>
      </c>
      <c r="H63" s="5" t="s">
        <v>490</v>
      </c>
      <c r="I63" s="5" t="s">
        <v>499</v>
      </c>
      <c r="J63" s="5" t="s">
        <v>397</v>
      </c>
      <c r="K63" s="5" t="s">
        <v>283</v>
      </c>
      <c r="L63" s="5">
        <v>50</v>
      </c>
      <c r="M63" s="6">
        <v>130</v>
      </c>
      <c r="N63" s="5">
        <v>5</v>
      </c>
      <c r="O63" s="5">
        <v>3</v>
      </c>
      <c r="P63" s="5">
        <v>2</v>
      </c>
      <c r="Q63" s="5">
        <v>2</v>
      </c>
      <c r="R63" s="5">
        <v>3</v>
      </c>
      <c r="S63" s="7">
        <f t="shared" si="0"/>
        <v>2.15</v>
      </c>
      <c r="T63" s="5" t="s">
        <v>519</v>
      </c>
    </row>
    <row r="64" spans="1:20" x14ac:dyDescent="0.2">
      <c r="A64" s="5" t="s">
        <v>459</v>
      </c>
      <c r="B64" s="5" t="s">
        <v>412</v>
      </c>
      <c r="C64" s="5" t="s">
        <v>372</v>
      </c>
      <c r="D64" s="5" t="s">
        <v>144</v>
      </c>
      <c r="E64" s="5" t="s">
        <v>135</v>
      </c>
      <c r="F64" s="5" t="s">
        <v>35</v>
      </c>
      <c r="G64" s="5" t="s">
        <v>484</v>
      </c>
      <c r="H64" s="5" t="s">
        <v>492</v>
      </c>
      <c r="I64" s="5" t="s">
        <v>499</v>
      </c>
      <c r="J64" s="5" t="s">
        <v>414</v>
      </c>
      <c r="K64" s="5" t="s">
        <v>281</v>
      </c>
      <c r="L64" s="5">
        <v>25</v>
      </c>
      <c r="M64" s="6">
        <v>420</v>
      </c>
      <c r="N64" s="5">
        <v>5</v>
      </c>
      <c r="O64" s="5">
        <v>4</v>
      </c>
      <c r="P64" s="5">
        <v>3</v>
      </c>
      <c r="Q64" s="5">
        <v>3</v>
      </c>
      <c r="R64" s="5">
        <v>4</v>
      </c>
      <c r="S64" s="7">
        <f t="shared" si="0"/>
        <v>2.9</v>
      </c>
      <c r="T64" s="5" t="s">
        <v>518</v>
      </c>
    </row>
    <row r="65" spans="1:20" x14ac:dyDescent="0.2">
      <c r="A65" s="5" t="s">
        <v>463</v>
      </c>
      <c r="B65" s="5" t="s">
        <v>416</v>
      </c>
      <c r="C65" s="5" t="s">
        <v>373</v>
      </c>
      <c r="D65" s="5" t="s">
        <v>145</v>
      </c>
      <c r="E65" s="5" t="s">
        <v>135</v>
      </c>
      <c r="F65" s="5" t="s">
        <v>41</v>
      </c>
      <c r="G65" s="5" t="s">
        <v>483</v>
      </c>
      <c r="H65" s="5" t="s">
        <v>490</v>
      </c>
      <c r="I65" s="5" t="s">
        <v>499</v>
      </c>
      <c r="J65" s="5" t="s">
        <v>434</v>
      </c>
      <c r="K65" s="5" t="s">
        <v>290</v>
      </c>
      <c r="L65" s="5">
        <v>100</v>
      </c>
      <c r="M65" s="6">
        <v>12</v>
      </c>
      <c r="N65" s="5">
        <v>5</v>
      </c>
      <c r="O65" s="5">
        <v>2</v>
      </c>
      <c r="P65" s="5">
        <v>2</v>
      </c>
      <c r="Q65" s="5">
        <v>2</v>
      </c>
      <c r="R65" s="5">
        <v>2</v>
      </c>
      <c r="S65" s="7">
        <f t="shared" si="0"/>
        <v>1.75</v>
      </c>
      <c r="T65" s="5" t="s">
        <v>519</v>
      </c>
    </row>
    <row r="66" spans="1:20" x14ac:dyDescent="0.2">
      <c r="A66" s="5" t="s">
        <v>464</v>
      </c>
      <c r="B66" s="5" t="s">
        <v>417</v>
      </c>
      <c r="C66" s="5" t="s">
        <v>372</v>
      </c>
      <c r="D66" s="5" t="s">
        <v>150</v>
      </c>
      <c r="E66" s="5" t="s">
        <v>147</v>
      </c>
      <c r="F66" s="5" t="s">
        <v>151</v>
      </c>
      <c r="G66" s="5" t="s">
        <v>483</v>
      </c>
      <c r="H66" s="5" t="s">
        <v>490</v>
      </c>
      <c r="I66" s="5" t="s">
        <v>499</v>
      </c>
      <c r="J66" s="5" t="s">
        <v>418</v>
      </c>
      <c r="K66" s="5" t="s">
        <v>288</v>
      </c>
      <c r="L66" s="5">
        <v>25</v>
      </c>
      <c r="M66" s="6">
        <v>95</v>
      </c>
      <c r="N66" s="5">
        <v>5</v>
      </c>
      <c r="O66" s="5">
        <v>4</v>
      </c>
      <c r="P66" s="5">
        <v>3</v>
      </c>
      <c r="Q66" s="5">
        <v>2</v>
      </c>
      <c r="R66" s="5">
        <v>3</v>
      </c>
      <c r="S66" s="7">
        <f t="shared" si="0"/>
        <v>2.6</v>
      </c>
      <c r="T66" s="5" t="s">
        <v>517</v>
      </c>
    </row>
    <row r="67" spans="1:20" x14ac:dyDescent="0.2">
      <c r="A67" s="5" t="s">
        <v>464</v>
      </c>
      <c r="B67" s="5" t="s">
        <v>417</v>
      </c>
      <c r="C67" s="5" t="s">
        <v>372</v>
      </c>
      <c r="D67" s="5" t="s">
        <v>152</v>
      </c>
      <c r="E67" s="5" t="s">
        <v>147</v>
      </c>
      <c r="F67" s="5" t="s">
        <v>151</v>
      </c>
      <c r="G67" s="5" t="s">
        <v>483</v>
      </c>
      <c r="H67" s="5" t="s">
        <v>490</v>
      </c>
      <c r="I67" s="5" t="s">
        <v>499</v>
      </c>
      <c r="J67" s="5" t="s">
        <v>419</v>
      </c>
      <c r="K67" s="5" t="s">
        <v>288</v>
      </c>
      <c r="L67" s="5">
        <v>25</v>
      </c>
      <c r="M67" s="6">
        <v>95</v>
      </c>
      <c r="N67" s="5">
        <v>5</v>
      </c>
      <c r="O67" s="5">
        <v>4</v>
      </c>
      <c r="P67" s="5">
        <v>3</v>
      </c>
      <c r="Q67" s="5">
        <v>2</v>
      </c>
      <c r="R67" s="5">
        <v>3</v>
      </c>
      <c r="S67" s="7">
        <f t="shared" ref="S67:S101" si="1">ROUND(((6-N67)*0.25)+(O67*0.25)+(P67*0.2)+(Q67*0.15)+(R67*0.15),2)</f>
        <v>2.6</v>
      </c>
      <c r="T67" s="5" t="s">
        <v>517</v>
      </c>
    </row>
    <row r="68" spans="1:20" x14ac:dyDescent="0.2">
      <c r="A68" s="5" t="s">
        <v>465</v>
      </c>
      <c r="B68" s="5" t="s">
        <v>418</v>
      </c>
      <c r="C68" s="5" t="s">
        <v>372</v>
      </c>
      <c r="D68" s="5" t="s">
        <v>153</v>
      </c>
      <c r="E68" s="5" t="s">
        <v>147</v>
      </c>
      <c r="F68" s="5" t="s">
        <v>151</v>
      </c>
      <c r="G68" s="5" t="s">
        <v>484</v>
      </c>
      <c r="H68" s="5" t="s">
        <v>492</v>
      </c>
      <c r="I68" s="5" t="s">
        <v>499</v>
      </c>
      <c r="J68" s="5" t="s">
        <v>417</v>
      </c>
      <c r="K68" s="5" t="s">
        <v>288</v>
      </c>
      <c r="L68" s="5">
        <v>25</v>
      </c>
      <c r="M68" s="6">
        <v>85</v>
      </c>
      <c r="N68" s="5">
        <v>4</v>
      </c>
      <c r="O68" s="5">
        <v>4</v>
      </c>
      <c r="P68" s="5">
        <v>3</v>
      </c>
      <c r="Q68" s="5">
        <v>3</v>
      </c>
      <c r="R68" s="5">
        <v>3</v>
      </c>
      <c r="S68" s="7">
        <f t="shared" si="1"/>
        <v>3</v>
      </c>
      <c r="T68" s="5" t="s">
        <v>518</v>
      </c>
    </row>
    <row r="69" spans="1:20" x14ac:dyDescent="0.2">
      <c r="A69" s="5" t="s">
        <v>466</v>
      </c>
      <c r="B69" s="5" t="s">
        <v>419</v>
      </c>
      <c r="C69" s="5" t="s">
        <v>373</v>
      </c>
      <c r="D69" s="5" t="s">
        <v>154</v>
      </c>
      <c r="E69" s="5" t="s">
        <v>147</v>
      </c>
      <c r="F69" s="5" t="s">
        <v>151</v>
      </c>
      <c r="G69" s="5" t="s">
        <v>483</v>
      </c>
      <c r="H69" s="5" t="s">
        <v>490</v>
      </c>
      <c r="I69" s="5" t="s">
        <v>499</v>
      </c>
      <c r="J69" s="5" t="s">
        <v>418</v>
      </c>
      <c r="K69" s="5" t="s">
        <v>280</v>
      </c>
      <c r="L69" s="5">
        <v>100</v>
      </c>
      <c r="M69" s="6">
        <v>45</v>
      </c>
      <c r="N69" s="5">
        <v>5</v>
      </c>
      <c r="O69" s="5">
        <v>3</v>
      </c>
      <c r="P69" s="5">
        <v>2</v>
      </c>
      <c r="Q69" s="5">
        <v>2</v>
      </c>
      <c r="R69" s="5">
        <v>2</v>
      </c>
      <c r="S69" s="7">
        <f t="shared" si="1"/>
        <v>2</v>
      </c>
      <c r="T69" s="5" t="s">
        <v>519</v>
      </c>
    </row>
    <row r="70" spans="1:20" x14ac:dyDescent="0.2">
      <c r="A70" s="5" t="s">
        <v>464</v>
      </c>
      <c r="B70" s="5" t="s">
        <v>417</v>
      </c>
      <c r="C70" s="5" t="s">
        <v>372</v>
      </c>
      <c r="D70" s="5" t="s">
        <v>155</v>
      </c>
      <c r="E70" s="5" t="s">
        <v>147</v>
      </c>
      <c r="F70" s="5" t="s">
        <v>151</v>
      </c>
      <c r="G70" s="5" t="s">
        <v>483</v>
      </c>
      <c r="H70" s="5" t="s">
        <v>490</v>
      </c>
      <c r="I70" s="5" t="s">
        <v>499</v>
      </c>
      <c r="J70" s="5" t="s">
        <v>419</v>
      </c>
      <c r="K70" s="5" t="s">
        <v>280</v>
      </c>
      <c r="L70" s="5">
        <v>25</v>
      </c>
      <c r="M70" s="6">
        <v>75</v>
      </c>
      <c r="N70" s="5">
        <v>5</v>
      </c>
      <c r="O70" s="5">
        <v>3</v>
      </c>
      <c r="P70" s="5">
        <v>2</v>
      </c>
      <c r="Q70" s="5">
        <v>2</v>
      </c>
      <c r="R70" s="5">
        <v>2</v>
      </c>
      <c r="S70" s="7">
        <f t="shared" si="1"/>
        <v>2</v>
      </c>
      <c r="T70" s="5" t="s">
        <v>519</v>
      </c>
    </row>
    <row r="71" spans="1:20" x14ac:dyDescent="0.2">
      <c r="A71" s="5" t="s">
        <v>467</v>
      </c>
      <c r="B71" s="5" t="s">
        <v>420</v>
      </c>
      <c r="C71" s="5" t="s">
        <v>372</v>
      </c>
      <c r="D71" s="5" t="s">
        <v>156</v>
      </c>
      <c r="E71" s="5" t="s">
        <v>147</v>
      </c>
      <c r="F71" s="5" t="s">
        <v>157</v>
      </c>
      <c r="G71" s="5" t="s">
        <v>483</v>
      </c>
      <c r="H71" s="5" t="s">
        <v>496</v>
      </c>
      <c r="I71" s="5" t="s">
        <v>499</v>
      </c>
      <c r="J71" s="5" t="s">
        <v>407</v>
      </c>
      <c r="K71" s="5" t="s">
        <v>280</v>
      </c>
      <c r="L71" s="5">
        <v>25</v>
      </c>
      <c r="M71" s="6">
        <v>90</v>
      </c>
      <c r="N71" s="5">
        <v>5</v>
      </c>
      <c r="O71" s="5">
        <v>4</v>
      </c>
      <c r="P71" s="5">
        <v>3</v>
      </c>
      <c r="Q71" s="5">
        <v>2</v>
      </c>
      <c r="R71" s="5">
        <v>3</v>
      </c>
      <c r="S71" s="7">
        <f t="shared" si="1"/>
        <v>2.6</v>
      </c>
      <c r="T71" s="5" t="s">
        <v>517</v>
      </c>
    </row>
    <row r="72" spans="1:20" x14ac:dyDescent="0.2">
      <c r="A72" s="5" t="s">
        <v>467</v>
      </c>
      <c r="B72" s="5" t="s">
        <v>420</v>
      </c>
      <c r="C72" s="5" t="s">
        <v>372</v>
      </c>
      <c r="D72" s="5" t="s">
        <v>158</v>
      </c>
      <c r="E72" s="5" t="s">
        <v>147</v>
      </c>
      <c r="F72" s="5" t="s">
        <v>157</v>
      </c>
      <c r="G72" s="5" t="s">
        <v>483</v>
      </c>
      <c r="H72" s="5" t="s">
        <v>496</v>
      </c>
      <c r="I72" s="5" t="s">
        <v>499</v>
      </c>
      <c r="J72" s="5" t="s">
        <v>417</v>
      </c>
      <c r="K72" s="5" t="s">
        <v>288</v>
      </c>
      <c r="L72" s="5">
        <v>25</v>
      </c>
      <c r="M72" s="6">
        <v>55</v>
      </c>
      <c r="N72" s="5">
        <v>5</v>
      </c>
      <c r="O72" s="5">
        <v>4</v>
      </c>
      <c r="P72" s="5">
        <v>3</v>
      </c>
      <c r="Q72" s="5">
        <v>2</v>
      </c>
      <c r="R72" s="5">
        <v>3</v>
      </c>
      <c r="S72" s="7">
        <f t="shared" si="1"/>
        <v>2.6</v>
      </c>
      <c r="T72" s="5" t="s">
        <v>517</v>
      </c>
    </row>
    <row r="73" spans="1:20" x14ac:dyDescent="0.2">
      <c r="A73" s="5" t="s">
        <v>468</v>
      </c>
      <c r="B73" s="5" t="s">
        <v>421</v>
      </c>
      <c r="C73" s="5" t="s">
        <v>372</v>
      </c>
      <c r="D73" s="5" t="s">
        <v>159</v>
      </c>
      <c r="E73" s="5" t="s">
        <v>147</v>
      </c>
      <c r="F73" s="5" t="s">
        <v>160</v>
      </c>
      <c r="G73" s="5" t="s">
        <v>483</v>
      </c>
      <c r="H73" s="5" t="s">
        <v>494</v>
      </c>
      <c r="I73" s="5" t="s">
        <v>499</v>
      </c>
      <c r="J73" s="5" t="s">
        <v>507</v>
      </c>
      <c r="K73" s="5" t="s">
        <v>280</v>
      </c>
      <c r="L73" s="5">
        <v>20</v>
      </c>
      <c r="M73" s="6">
        <v>280</v>
      </c>
      <c r="N73" s="5">
        <v>5</v>
      </c>
      <c r="O73" s="5">
        <v>3</v>
      </c>
      <c r="P73" s="5">
        <v>3</v>
      </c>
      <c r="Q73" s="5">
        <v>2</v>
      </c>
      <c r="R73" s="5">
        <v>3</v>
      </c>
      <c r="S73" s="7">
        <f t="shared" si="1"/>
        <v>2.35</v>
      </c>
      <c r="T73" s="5" t="s">
        <v>517</v>
      </c>
    </row>
    <row r="74" spans="1:20" x14ac:dyDescent="0.2">
      <c r="A74" s="5" t="s">
        <v>469</v>
      </c>
      <c r="B74" s="5" t="s">
        <v>422</v>
      </c>
      <c r="C74" s="5" t="s">
        <v>372</v>
      </c>
      <c r="D74" s="5" t="s">
        <v>21</v>
      </c>
      <c r="E74" s="5" t="s">
        <v>14</v>
      </c>
      <c r="F74" s="5" t="s">
        <v>13</v>
      </c>
      <c r="G74" s="5" t="s">
        <v>484</v>
      </c>
      <c r="H74" s="5" t="s">
        <v>492</v>
      </c>
      <c r="I74" s="5" t="s">
        <v>499</v>
      </c>
      <c r="J74" s="5" t="s">
        <v>508</v>
      </c>
      <c r="K74" s="5" t="s">
        <v>282</v>
      </c>
      <c r="L74" s="8">
        <v>10000</v>
      </c>
      <c r="M74" s="6">
        <v>1.45</v>
      </c>
      <c r="N74" s="5">
        <v>5</v>
      </c>
      <c r="O74" s="5">
        <v>5</v>
      </c>
      <c r="P74" s="5">
        <v>5</v>
      </c>
      <c r="Q74" s="5">
        <v>3</v>
      </c>
      <c r="R74" s="5">
        <v>5</v>
      </c>
      <c r="S74" s="7">
        <f t="shared" si="1"/>
        <v>3.7</v>
      </c>
      <c r="T74" s="5" t="s">
        <v>520</v>
      </c>
    </row>
    <row r="75" spans="1:20" x14ac:dyDescent="0.2">
      <c r="A75" s="5" t="s">
        <v>470</v>
      </c>
      <c r="B75" s="5" t="s">
        <v>423</v>
      </c>
      <c r="C75" s="5" t="s">
        <v>373</v>
      </c>
      <c r="D75" s="5" t="s">
        <v>23</v>
      </c>
      <c r="E75" s="5" t="s">
        <v>14</v>
      </c>
      <c r="F75" s="5" t="s">
        <v>25</v>
      </c>
      <c r="G75" s="5" t="s">
        <v>483</v>
      </c>
      <c r="H75" s="5" t="s">
        <v>490</v>
      </c>
      <c r="I75" s="5" t="s">
        <v>499</v>
      </c>
      <c r="J75" s="5" t="s">
        <v>389</v>
      </c>
      <c r="K75" s="5" t="s">
        <v>283</v>
      </c>
      <c r="L75" s="5">
        <v>500</v>
      </c>
      <c r="M75" s="6">
        <v>28</v>
      </c>
      <c r="N75" s="5">
        <v>4</v>
      </c>
      <c r="O75" s="5">
        <v>3</v>
      </c>
      <c r="P75" s="5">
        <v>2</v>
      </c>
      <c r="Q75" s="5">
        <v>2</v>
      </c>
      <c r="R75" s="5">
        <v>2</v>
      </c>
      <c r="S75" s="7">
        <f t="shared" si="1"/>
        <v>2.25</v>
      </c>
      <c r="T75" s="5" t="s">
        <v>517</v>
      </c>
    </row>
    <row r="76" spans="1:20" x14ac:dyDescent="0.2">
      <c r="A76" s="5" t="s">
        <v>457</v>
      </c>
      <c r="B76" s="5" t="s">
        <v>410</v>
      </c>
      <c r="C76" s="5" t="s">
        <v>373</v>
      </c>
      <c r="D76" s="5" t="s">
        <v>26</v>
      </c>
      <c r="E76" s="5" t="s">
        <v>14</v>
      </c>
      <c r="F76" s="5" t="s">
        <v>17</v>
      </c>
      <c r="G76" s="5" t="s">
        <v>483</v>
      </c>
      <c r="H76" s="5" t="s">
        <v>493</v>
      </c>
      <c r="I76" s="5" t="s">
        <v>499</v>
      </c>
      <c r="J76" s="5" t="s">
        <v>389</v>
      </c>
      <c r="K76" s="5" t="s">
        <v>280</v>
      </c>
      <c r="L76" s="5">
        <v>50</v>
      </c>
      <c r="M76" s="6">
        <v>42</v>
      </c>
      <c r="N76" s="5">
        <v>5</v>
      </c>
      <c r="O76" s="5">
        <v>3</v>
      </c>
      <c r="P76" s="5">
        <v>2</v>
      </c>
      <c r="Q76" s="5">
        <v>2</v>
      </c>
      <c r="R76" s="5">
        <v>2</v>
      </c>
      <c r="S76" s="7">
        <f t="shared" si="1"/>
        <v>2</v>
      </c>
      <c r="T76" s="5" t="s">
        <v>519</v>
      </c>
    </row>
    <row r="77" spans="1:20" x14ac:dyDescent="0.2">
      <c r="A77" s="5" t="s">
        <v>457</v>
      </c>
      <c r="B77" s="5" t="s">
        <v>410</v>
      </c>
      <c r="C77" s="5" t="s">
        <v>373</v>
      </c>
      <c r="D77" s="5" t="s">
        <v>27</v>
      </c>
      <c r="E77" s="5" t="s">
        <v>14</v>
      </c>
      <c r="F77" s="5" t="s">
        <v>17</v>
      </c>
      <c r="G77" s="5" t="s">
        <v>483</v>
      </c>
      <c r="H77" s="5" t="s">
        <v>493</v>
      </c>
      <c r="I77" s="5" t="s">
        <v>499</v>
      </c>
      <c r="J77" s="5" t="s">
        <v>389</v>
      </c>
      <c r="K77" s="5" t="s">
        <v>280</v>
      </c>
      <c r="L77" s="5">
        <v>50</v>
      </c>
      <c r="M77" s="6">
        <v>38</v>
      </c>
      <c r="N77" s="5">
        <v>5</v>
      </c>
      <c r="O77" s="5">
        <v>3</v>
      </c>
      <c r="P77" s="5">
        <v>2</v>
      </c>
      <c r="Q77" s="5">
        <v>2</v>
      </c>
      <c r="R77" s="5">
        <v>2</v>
      </c>
      <c r="S77" s="7">
        <f t="shared" si="1"/>
        <v>2</v>
      </c>
      <c r="T77" s="5" t="s">
        <v>519</v>
      </c>
    </row>
    <row r="78" spans="1:20" x14ac:dyDescent="0.2">
      <c r="A78" s="5" t="s">
        <v>471</v>
      </c>
      <c r="B78" s="5" t="s">
        <v>424</v>
      </c>
      <c r="C78" s="5" t="s">
        <v>373</v>
      </c>
      <c r="D78" s="5" t="s">
        <v>28</v>
      </c>
      <c r="E78" s="5" t="s">
        <v>14</v>
      </c>
      <c r="F78" s="5" t="s">
        <v>29</v>
      </c>
      <c r="G78" s="5" t="s">
        <v>483</v>
      </c>
      <c r="H78" s="5" t="s">
        <v>494</v>
      </c>
      <c r="I78" s="5" t="s">
        <v>499</v>
      </c>
      <c r="J78" s="5" t="s">
        <v>425</v>
      </c>
      <c r="K78" s="5" t="s">
        <v>280</v>
      </c>
      <c r="L78" s="5">
        <v>250</v>
      </c>
      <c r="M78" s="6">
        <v>22</v>
      </c>
      <c r="N78" s="5">
        <v>4</v>
      </c>
      <c r="O78" s="5">
        <v>4</v>
      </c>
      <c r="P78" s="5">
        <v>3</v>
      </c>
      <c r="Q78" s="5">
        <v>2</v>
      </c>
      <c r="R78" s="5">
        <v>4</v>
      </c>
      <c r="S78" s="7">
        <f t="shared" si="1"/>
        <v>3</v>
      </c>
      <c r="T78" s="5" t="s">
        <v>518</v>
      </c>
    </row>
    <row r="79" spans="1:20" x14ac:dyDescent="0.2">
      <c r="A79" s="5" t="s">
        <v>472</v>
      </c>
      <c r="B79" s="5" t="s">
        <v>425</v>
      </c>
      <c r="C79" s="5" t="s">
        <v>373</v>
      </c>
      <c r="D79" s="5" t="s">
        <v>30</v>
      </c>
      <c r="E79" s="5" t="s">
        <v>14</v>
      </c>
      <c r="F79" s="5" t="s">
        <v>29</v>
      </c>
      <c r="G79" s="5" t="s">
        <v>483</v>
      </c>
      <c r="H79" s="5" t="s">
        <v>490</v>
      </c>
      <c r="I79" s="5" t="s">
        <v>499</v>
      </c>
      <c r="J79" s="5" t="s">
        <v>509</v>
      </c>
      <c r="K79" s="5" t="s">
        <v>281</v>
      </c>
      <c r="L79" s="5">
        <v>500</v>
      </c>
      <c r="M79" s="6">
        <v>0.18</v>
      </c>
      <c r="N79" s="5">
        <v>4</v>
      </c>
      <c r="O79" s="5">
        <v>4</v>
      </c>
      <c r="P79" s="5">
        <v>3</v>
      </c>
      <c r="Q79" s="5">
        <v>2</v>
      </c>
      <c r="R79" s="5">
        <v>4</v>
      </c>
      <c r="S79" s="7">
        <f t="shared" si="1"/>
        <v>3</v>
      </c>
      <c r="T79" s="5" t="s">
        <v>518</v>
      </c>
    </row>
    <row r="80" spans="1:20" x14ac:dyDescent="0.2">
      <c r="A80" s="5" t="s">
        <v>471</v>
      </c>
      <c r="B80" s="5" t="s">
        <v>424</v>
      </c>
      <c r="C80" s="5" t="s">
        <v>373</v>
      </c>
      <c r="D80" s="5" t="s">
        <v>32</v>
      </c>
      <c r="E80" s="5" t="s">
        <v>14</v>
      </c>
      <c r="F80" s="5" t="s">
        <v>29</v>
      </c>
      <c r="G80" s="5" t="s">
        <v>483</v>
      </c>
      <c r="H80" s="5" t="s">
        <v>494</v>
      </c>
      <c r="I80" s="5" t="s">
        <v>499</v>
      </c>
      <c r="J80" s="5" t="s">
        <v>425</v>
      </c>
      <c r="K80" s="5" t="s">
        <v>281</v>
      </c>
      <c r="L80" s="5">
        <v>250</v>
      </c>
      <c r="M80" s="6">
        <v>18</v>
      </c>
      <c r="N80" s="5">
        <v>4</v>
      </c>
      <c r="O80" s="5">
        <v>4</v>
      </c>
      <c r="P80" s="5">
        <v>3</v>
      </c>
      <c r="Q80" s="5">
        <v>2</v>
      </c>
      <c r="R80" s="5">
        <v>4</v>
      </c>
      <c r="S80" s="7">
        <f t="shared" si="1"/>
        <v>3</v>
      </c>
      <c r="T80" s="5" t="s">
        <v>518</v>
      </c>
    </row>
    <row r="81" spans="1:20" x14ac:dyDescent="0.2">
      <c r="A81" s="5" t="s">
        <v>471</v>
      </c>
      <c r="B81" s="5" t="s">
        <v>424</v>
      </c>
      <c r="C81" s="5" t="s">
        <v>372</v>
      </c>
      <c r="D81" s="5" t="s">
        <v>33</v>
      </c>
      <c r="E81" s="5" t="s">
        <v>14</v>
      </c>
      <c r="F81" s="5" t="s">
        <v>29</v>
      </c>
      <c r="G81" s="5" t="s">
        <v>483</v>
      </c>
      <c r="H81" s="5" t="s">
        <v>494</v>
      </c>
      <c r="I81" s="5" t="s">
        <v>499</v>
      </c>
      <c r="J81" s="5" t="s">
        <v>425</v>
      </c>
      <c r="K81" s="5" t="s">
        <v>284</v>
      </c>
      <c r="L81" s="5">
        <v>250</v>
      </c>
      <c r="M81" s="6">
        <v>12</v>
      </c>
      <c r="N81" s="5">
        <v>4</v>
      </c>
      <c r="O81" s="5">
        <v>4</v>
      </c>
      <c r="P81" s="5">
        <v>3</v>
      </c>
      <c r="Q81" s="5">
        <v>2</v>
      </c>
      <c r="R81" s="5">
        <v>4</v>
      </c>
      <c r="S81" s="7">
        <f t="shared" si="1"/>
        <v>3</v>
      </c>
      <c r="T81" s="5" t="s">
        <v>518</v>
      </c>
    </row>
    <row r="82" spans="1:20" x14ac:dyDescent="0.2">
      <c r="A82" s="5" t="s">
        <v>473</v>
      </c>
      <c r="B82" s="5" t="s">
        <v>426</v>
      </c>
      <c r="C82" s="5" t="s">
        <v>372</v>
      </c>
      <c r="D82" s="5" t="s">
        <v>34</v>
      </c>
      <c r="E82" s="5" t="s">
        <v>14</v>
      </c>
      <c r="F82" s="5" t="s">
        <v>35</v>
      </c>
      <c r="G82" s="5" t="s">
        <v>482</v>
      </c>
      <c r="H82" s="5" t="s">
        <v>486</v>
      </c>
      <c r="I82" s="5" t="s">
        <v>499</v>
      </c>
      <c r="J82" s="5" t="s">
        <v>411</v>
      </c>
      <c r="K82" s="5" t="s">
        <v>283</v>
      </c>
      <c r="L82" s="5">
        <v>100</v>
      </c>
      <c r="M82" s="6">
        <v>65</v>
      </c>
      <c r="N82" s="5">
        <v>5</v>
      </c>
      <c r="O82" s="5">
        <v>4</v>
      </c>
      <c r="P82" s="5">
        <v>2</v>
      </c>
      <c r="Q82" s="5">
        <v>2</v>
      </c>
      <c r="R82" s="5">
        <v>3</v>
      </c>
      <c r="S82" s="7">
        <f t="shared" si="1"/>
        <v>2.4</v>
      </c>
      <c r="T82" s="5" t="s">
        <v>517</v>
      </c>
    </row>
    <row r="83" spans="1:20" x14ac:dyDescent="0.2">
      <c r="A83" s="5" t="s">
        <v>474</v>
      </c>
      <c r="B83" s="5" t="s">
        <v>427</v>
      </c>
      <c r="C83" s="5" t="s">
        <v>372</v>
      </c>
      <c r="D83" s="5" t="s">
        <v>36</v>
      </c>
      <c r="E83" s="5" t="s">
        <v>14</v>
      </c>
      <c r="F83" s="5" t="s">
        <v>38</v>
      </c>
      <c r="G83" s="5" t="s">
        <v>482</v>
      </c>
      <c r="H83" s="5" t="s">
        <v>486</v>
      </c>
      <c r="I83" s="5" t="s">
        <v>499</v>
      </c>
      <c r="J83" s="5" t="s">
        <v>426</v>
      </c>
      <c r="K83" s="5" t="s">
        <v>285</v>
      </c>
      <c r="L83" s="5">
        <v>100</v>
      </c>
      <c r="M83" s="6">
        <v>8</v>
      </c>
      <c r="N83" s="5">
        <v>5</v>
      </c>
      <c r="O83" s="5">
        <v>4</v>
      </c>
      <c r="P83" s="5">
        <v>2</v>
      </c>
      <c r="Q83" s="5">
        <v>2</v>
      </c>
      <c r="R83" s="5">
        <v>3</v>
      </c>
      <c r="S83" s="7">
        <f t="shared" si="1"/>
        <v>2.4</v>
      </c>
      <c r="T83" s="5" t="s">
        <v>517</v>
      </c>
    </row>
    <row r="84" spans="1:20" x14ac:dyDescent="0.2">
      <c r="A84" s="5" t="s">
        <v>458</v>
      </c>
      <c r="B84" s="5" t="s">
        <v>411</v>
      </c>
      <c r="C84" s="5" t="s">
        <v>372</v>
      </c>
      <c r="D84" s="5" t="s">
        <v>39</v>
      </c>
      <c r="E84" s="5" t="s">
        <v>14</v>
      </c>
      <c r="F84" s="5" t="s">
        <v>41</v>
      </c>
      <c r="G84" s="5" t="s">
        <v>483</v>
      </c>
      <c r="H84" s="5" t="s">
        <v>490</v>
      </c>
      <c r="I84" s="5" t="s">
        <v>499</v>
      </c>
      <c r="J84" s="5" t="s">
        <v>426</v>
      </c>
      <c r="K84" s="5" t="s">
        <v>286</v>
      </c>
      <c r="L84" s="5">
        <v>100</v>
      </c>
      <c r="M84" s="6">
        <v>18</v>
      </c>
      <c r="N84" s="5">
        <v>5</v>
      </c>
      <c r="O84" s="5">
        <v>4</v>
      </c>
      <c r="P84" s="5">
        <v>2</v>
      </c>
      <c r="Q84" s="5">
        <v>2</v>
      </c>
      <c r="R84" s="5">
        <v>3</v>
      </c>
      <c r="S84" s="7">
        <f t="shared" si="1"/>
        <v>2.4</v>
      </c>
      <c r="T84" s="5" t="s">
        <v>517</v>
      </c>
    </row>
    <row r="85" spans="1:20" x14ac:dyDescent="0.2">
      <c r="A85" s="5" t="s">
        <v>466</v>
      </c>
      <c r="B85" s="5" t="s">
        <v>419</v>
      </c>
      <c r="C85" s="5" t="s">
        <v>373</v>
      </c>
      <c r="D85" s="5" t="s">
        <v>67</v>
      </c>
      <c r="E85" s="5" t="s">
        <v>64</v>
      </c>
      <c r="F85" s="5" t="s">
        <v>68</v>
      </c>
      <c r="G85" s="5" t="s">
        <v>483</v>
      </c>
      <c r="H85" s="5" t="s">
        <v>490</v>
      </c>
      <c r="I85" s="5" t="s">
        <v>499</v>
      </c>
      <c r="J85" s="5" t="s">
        <v>428</v>
      </c>
      <c r="K85" s="5" t="s">
        <v>287</v>
      </c>
      <c r="L85" s="5">
        <v>50</v>
      </c>
      <c r="M85" s="6">
        <v>280</v>
      </c>
      <c r="N85" s="5">
        <v>5</v>
      </c>
      <c r="O85" s="5">
        <v>5</v>
      </c>
      <c r="P85" s="5">
        <v>4</v>
      </c>
      <c r="Q85" s="5">
        <v>2</v>
      </c>
      <c r="R85" s="5">
        <v>5</v>
      </c>
      <c r="S85" s="7">
        <f t="shared" si="1"/>
        <v>3.35</v>
      </c>
      <c r="T85" s="5" t="s">
        <v>518</v>
      </c>
    </row>
    <row r="86" spans="1:20" x14ac:dyDescent="0.2">
      <c r="A86" s="5" t="s">
        <v>466</v>
      </c>
      <c r="B86" s="5" t="s">
        <v>419</v>
      </c>
      <c r="C86" s="5" t="s">
        <v>373</v>
      </c>
      <c r="D86" s="5" t="s">
        <v>69</v>
      </c>
      <c r="E86" s="5" t="s">
        <v>64</v>
      </c>
      <c r="F86" s="5" t="s">
        <v>68</v>
      </c>
      <c r="G86" s="5" t="s">
        <v>483</v>
      </c>
      <c r="H86" s="5" t="s">
        <v>490</v>
      </c>
      <c r="I86" s="5" t="s">
        <v>499</v>
      </c>
      <c r="J86" s="5" t="s">
        <v>428</v>
      </c>
      <c r="K86" s="5" t="s">
        <v>287</v>
      </c>
      <c r="L86" s="5">
        <v>50</v>
      </c>
      <c r="M86" s="6">
        <v>320</v>
      </c>
      <c r="N86" s="5">
        <v>5</v>
      </c>
      <c r="O86" s="5">
        <v>5</v>
      </c>
      <c r="P86" s="5">
        <v>4</v>
      </c>
      <c r="Q86" s="5">
        <v>2</v>
      </c>
      <c r="R86" s="5">
        <v>5</v>
      </c>
      <c r="S86" s="7">
        <f t="shared" si="1"/>
        <v>3.35</v>
      </c>
      <c r="T86" s="5" t="s">
        <v>518</v>
      </c>
    </row>
    <row r="87" spans="1:20" x14ac:dyDescent="0.2">
      <c r="A87" s="5" t="s">
        <v>472</v>
      </c>
      <c r="B87" s="5" t="s">
        <v>425</v>
      </c>
      <c r="C87" s="5" t="s">
        <v>373</v>
      </c>
      <c r="D87" s="5" t="s">
        <v>70</v>
      </c>
      <c r="E87" s="5" t="s">
        <v>64</v>
      </c>
      <c r="F87" s="5" t="s">
        <v>68</v>
      </c>
      <c r="G87" s="5" t="s">
        <v>483</v>
      </c>
      <c r="H87" s="5" t="s">
        <v>490</v>
      </c>
      <c r="I87" s="5" t="s">
        <v>499</v>
      </c>
      <c r="J87" s="5" t="s">
        <v>509</v>
      </c>
      <c r="K87" s="5" t="s">
        <v>281</v>
      </c>
      <c r="L87" s="5">
        <v>500</v>
      </c>
      <c r="M87" s="6">
        <v>210</v>
      </c>
      <c r="N87" s="5">
        <v>4</v>
      </c>
      <c r="O87" s="5">
        <v>4</v>
      </c>
      <c r="P87" s="5">
        <v>4</v>
      </c>
      <c r="Q87" s="5">
        <v>2</v>
      </c>
      <c r="R87" s="5">
        <v>4</v>
      </c>
      <c r="S87" s="7">
        <f t="shared" si="1"/>
        <v>3.2</v>
      </c>
      <c r="T87" s="5" t="s">
        <v>518</v>
      </c>
    </row>
    <row r="88" spans="1:20" x14ac:dyDescent="0.2">
      <c r="A88" s="5" t="s">
        <v>475</v>
      </c>
      <c r="B88" s="5" t="s">
        <v>428</v>
      </c>
      <c r="C88" s="5" t="s">
        <v>372</v>
      </c>
      <c r="D88" s="5" t="s">
        <v>71</v>
      </c>
      <c r="E88" s="5" t="s">
        <v>64</v>
      </c>
      <c r="F88" s="5" t="s">
        <v>68</v>
      </c>
      <c r="G88" s="5" t="s">
        <v>483</v>
      </c>
      <c r="H88" s="5" t="s">
        <v>490</v>
      </c>
      <c r="I88" s="5" t="s">
        <v>499</v>
      </c>
      <c r="J88" s="5" t="s">
        <v>433</v>
      </c>
      <c r="K88" s="5" t="s">
        <v>287</v>
      </c>
      <c r="L88" s="5">
        <v>50</v>
      </c>
      <c r="M88" s="6">
        <v>180</v>
      </c>
      <c r="N88" s="5">
        <v>4</v>
      </c>
      <c r="O88" s="5">
        <v>5</v>
      </c>
      <c r="P88" s="5">
        <v>5</v>
      </c>
      <c r="Q88" s="5">
        <v>2</v>
      </c>
      <c r="R88" s="5">
        <v>5</v>
      </c>
      <c r="S88" s="7">
        <f t="shared" si="1"/>
        <v>3.8</v>
      </c>
      <c r="T88" s="5" t="s">
        <v>520</v>
      </c>
    </row>
    <row r="89" spans="1:20" x14ac:dyDescent="0.2">
      <c r="A89" s="5" t="s">
        <v>476</v>
      </c>
      <c r="B89" s="5" t="s">
        <v>429</v>
      </c>
      <c r="C89" s="5" t="s">
        <v>372</v>
      </c>
      <c r="D89" s="5" t="s">
        <v>72</v>
      </c>
      <c r="E89" s="5" t="s">
        <v>64</v>
      </c>
      <c r="F89" s="5" t="s">
        <v>17</v>
      </c>
      <c r="G89" s="5" t="s">
        <v>482</v>
      </c>
      <c r="H89" s="5" t="s">
        <v>497</v>
      </c>
      <c r="I89" s="5" t="s">
        <v>499</v>
      </c>
      <c r="J89" s="5" t="s">
        <v>510</v>
      </c>
      <c r="K89" s="5" t="s">
        <v>282</v>
      </c>
      <c r="L89" s="5">
        <v>25</v>
      </c>
      <c r="M89" s="6">
        <v>260</v>
      </c>
      <c r="N89" s="5">
        <v>4</v>
      </c>
      <c r="O89" s="5">
        <v>3</v>
      </c>
      <c r="P89" s="5">
        <v>3</v>
      </c>
      <c r="Q89" s="5">
        <v>3</v>
      </c>
      <c r="R89" s="5">
        <v>3</v>
      </c>
      <c r="S89" s="7">
        <f t="shared" si="1"/>
        <v>2.75</v>
      </c>
      <c r="T89" s="5" t="s">
        <v>517</v>
      </c>
    </row>
    <row r="90" spans="1:20" x14ac:dyDescent="0.2">
      <c r="A90" s="5" t="s">
        <v>477</v>
      </c>
      <c r="B90" s="5" t="s">
        <v>430</v>
      </c>
      <c r="C90" s="5" t="s">
        <v>372</v>
      </c>
      <c r="D90" s="5" t="s">
        <v>73</v>
      </c>
      <c r="E90" s="5" t="s">
        <v>64</v>
      </c>
      <c r="F90" s="5" t="s">
        <v>61</v>
      </c>
      <c r="G90" s="5" t="s">
        <v>483</v>
      </c>
      <c r="H90" s="5" t="s">
        <v>498</v>
      </c>
      <c r="I90" s="5" t="s">
        <v>499</v>
      </c>
      <c r="J90" s="5" t="s">
        <v>419</v>
      </c>
      <c r="K90" s="5" t="s">
        <v>281</v>
      </c>
      <c r="L90" s="5">
        <v>100</v>
      </c>
      <c r="M90" s="6">
        <v>28</v>
      </c>
      <c r="N90" s="5">
        <v>5</v>
      </c>
      <c r="O90" s="5">
        <v>4</v>
      </c>
      <c r="P90" s="5">
        <v>2</v>
      </c>
      <c r="Q90" s="5">
        <v>2</v>
      </c>
      <c r="R90" s="5">
        <v>2</v>
      </c>
      <c r="S90" s="7">
        <f t="shared" si="1"/>
        <v>2.25</v>
      </c>
      <c r="T90" s="5" t="s">
        <v>519</v>
      </c>
    </row>
    <row r="91" spans="1:20" x14ac:dyDescent="0.2">
      <c r="A91" s="5" t="s">
        <v>449</v>
      </c>
      <c r="B91" s="5" t="s">
        <v>402</v>
      </c>
      <c r="C91" s="5" t="s">
        <v>372</v>
      </c>
      <c r="D91" s="5" t="s">
        <v>74</v>
      </c>
      <c r="E91" s="5" t="s">
        <v>64</v>
      </c>
      <c r="F91" s="5" t="s">
        <v>61</v>
      </c>
      <c r="G91" s="5" t="s">
        <v>483</v>
      </c>
      <c r="H91" s="5" t="s">
        <v>489</v>
      </c>
      <c r="I91" s="5" t="s">
        <v>499</v>
      </c>
      <c r="J91" s="5" t="s">
        <v>511</v>
      </c>
      <c r="K91" s="5" t="s">
        <v>280</v>
      </c>
      <c r="L91" s="5">
        <v>25</v>
      </c>
      <c r="M91" s="6">
        <v>45</v>
      </c>
      <c r="N91" s="5">
        <v>5</v>
      </c>
      <c r="O91" s="5">
        <v>4</v>
      </c>
      <c r="P91" s="5">
        <v>3</v>
      </c>
      <c r="Q91" s="5">
        <v>2</v>
      </c>
      <c r="R91" s="5">
        <v>3</v>
      </c>
      <c r="S91" s="7">
        <f t="shared" si="1"/>
        <v>2.6</v>
      </c>
      <c r="T91" s="5" t="s">
        <v>517</v>
      </c>
    </row>
    <row r="92" spans="1:20" x14ac:dyDescent="0.2">
      <c r="A92" s="5" t="s">
        <v>437</v>
      </c>
      <c r="B92" s="5" t="s">
        <v>390</v>
      </c>
      <c r="C92" s="5" t="s">
        <v>372</v>
      </c>
      <c r="D92" s="5" t="s">
        <v>75</v>
      </c>
      <c r="E92" s="5" t="s">
        <v>64</v>
      </c>
      <c r="F92" s="5" t="s">
        <v>0</v>
      </c>
      <c r="G92" s="5" t="s">
        <v>482</v>
      </c>
      <c r="H92" s="5" t="s">
        <v>486</v>
      </c>
      <c r="I92" s="5" t="s">
        <v>499</v>
      </c>
      <c r="J92" s="5" t="s">
        <v>393</v>
      </c>
      <c r="K92" s="5" t="s">
        <v>288</v>
      </c>
      <c r="L92" s="5">
        <v>25</v>
      </c>
      <c r="M92" s="6">
        <v>65</v>
      </c>
      <c r="N92" s="5">
        <v>4</v>
      </c>
      <c r="O92" s="5">
        <v>4</v>
      </c>
      <c r="P92" s="5">
        <v>3</v>
      </c>
      <c r="Q92" s="5">
        <v>2</v>
      </c>
      <c r="R92" s="5">
        <v>4</v>
      </c>
      <c r="S92" s="7">
        <f t="shared" si="1"/>
        <v>3</v>
      </c>
      <c r="T92" s="5" t="s">
        <v>518</v>
      </c>
    </row>
    <row r="93" spans="1:20" x14ac:dyDescent="0.2">
      <c r="A93" s="5" t="s">
        <v>478</v>
      </c>
      <c r="B93" s="5" t="s">
        <v>431</v>
      </c>
      <c r="C93" s="5" t="s">
        <v>372</v>
      </c>
      <c r="D93" s="5" t="s">
        <v>78</v>
      </c>
      <c r="E93" s="5" t="s">
        <v>64</v>
      </c>
      <c r="F93" s="5" t="s">
        <v>0</v>
      </c>
      <c r="G93" s="5" t="s">
        <v>483</v>
      </c>
      <c r="H93" s="5" t="s">
        <v>490</v>
      </c>
      <c r="I93" s="5" t="s">
        <v>499</v>
      </c>
      <c r="J93" s="5" t="s">
        <v>512</v>
      </c>
      <c r="K93" s="5" t="s">
        <v>292</v>
      </c>
      <c r="L93" s="5">
        <v>25</v>
      </c>
      <c r="M93" s="6">
        <v>380</v>
      </c>
      <c r="N93" s="5">
        <v>5</v>
      </c>
      <c r="O93" s="5">
        <v>5</v>
      </c>
      <c r="P93" s="5">
        <v>5</v>
      </c>
      <c r="Q93" s="5">
        <v>2</v>
      </c>
      <c r="R93" s="5">
        <v>5</v>
      </c>
      <c r="S93" s="7">
        <f t="shared" si="1"/>
        <v>3.55</v>
      </c>
      <c r="T93" s="5" t="s">
        <v>520</v>
      </c>
    </row>
    <row r="94" spans="1:20" x14ac:dyDescent="0.2">
      <c r="A94" s="5" t="s">
        <v>479</v>
      </c>
      <c r="B94" s="5" t="s">
        <v>432</v>
      </c>
      <c r="C94" s="5" t="s">
        <v>372</v>
      </c>
      <c r="D94" s="5" t="s">
        <v>79</v>
      </c>
      <c r="E94" s="5" t="s">
        <v>64</v>
      </c>
      <c r="F94" s="5" t="s">
        <v>0</v>
      </c>
      <c r="G94" s="5" t="s">
        <v>482</v>
      </c>
      <c r="H94" s="5" t="s">
        <v>486</v>
      </c>
      <c r="I94" s="5" t="s">
        <v>499</v>
      </c>
      <c r="J94" s="5" t="s">
        <v>513</v>
      </c>
      <c r="K94" s="5" t="s">
        <v>287</v>
      </c>
      <c r="L94" s="5">
        <v>100</v>
      </c>
      <c r="M94" s="6">
        <v>120</v>
      </c>
      <c r="N94" s="5">
        <v>4</v>
      </c>
      <c r="O94" s="5">
        <v>4</v>
      </c>
      <c r="P94" s="5">
        <v>3</v>
      </c>
      <c r="Q94" s="5">
        <v>2</v>
      </c>
      <c r="R94" s="5">
        <v>4</v>
      </c>
      <c r="S94" s="7">
        <f t="shared" si="1"/>
        <v>3</v>
      </c>
      <c r="T94" s="5" t="s">
        <v>518</v>
      </c>
    </row>
    <row r="95" spans="1:20" x14ac:dyDescent="0.2">
      <c r="A95" s="5" t="s">
        <v>480</v>
      </c>
      <c r="B95" s="5" t="s">
        <v>433</v>
      </c>
      <c r="C95" s="5" t="s">
        <v>372</v>
      </c>
      <c r="D95" s="5" t="s">
        <v>80</v>
      </c>
      <c r="E95" s="5" t="s">
        <v>64</v>
      </c>
      <c r="F95" s="5" t="s">
        <v>0</v>
      </c>
      <c r="G95" s="5" t="s">
        <v>484</v>
      </c>
      <c r="H95" s="5" t="s">
        <v>492</v>
      </c>
      <c r="I95" s="5" t="s">
        <v>499</v>
      </c>
      <c r="J95" s="5" t="s">
        <v>514</v>
      </c>
      <c r="K95" s="5" t="s">
        <v>281</v>
      </c>
      <c r="L95" s="5">
        <v>50</v>
      </c>
      <c r="M95" s="6">
        <v>95</v>
      </c>
      <c r="N95" s="5">
        <v>5</v>
      </c>
      <c r="O95" s="5">
        <v>4</v>
      </c>
      <c r="P95" s="5">
        <v>3</v>
      </c>
      <c r="Q95" s="5">
        <v>3</v>
      </c>
      <c r="R95" s="5">
        <v>4</v>
      </c>
      <c r="S95" s="7">
        <f t="shared" si="1"/>
        <v>2.9</v>
      </c>
      <c r="T95" s="5" t="s">
        <v>518</v>
      </c>
    </row>
    <row r="96" spans="1:20" x14ac:dyDescent="0.2">
      <c r="A96" s="5" t="s">
        <v>443</v>
      </c>
      <c r="B96" s="5" t="s">
        <v>396</v>
      </c>
      <c r="C96" s="5" t="s">
        <v>372</v>
      </c>
      <c r="D96" s="5" t="s">
        <v>81</v>
      </c>
      <c r="E96" s="5" t="s">
        <v>64</v>
      </c>
      <c r="F96" s="5" t="s">
        <v>35</v>
      </c>
      <c r="G96" s="5" t="s">
        <v>482</v>
      </c>
      <c r="H96" s="5" t="s">
        <v>486</v>
      </c>
      <c r="I96" s="5" t="s">
        <v>499</v>
      </c>
      <c r="J96" s="5" t="s">
        <v>413</v>
      </c>
      <c r="K96" s="5" t="s">
        <v>288</v>
      </c>
      <c r="L96" s="5">
        <v>10</v>
      </c>
      <c r="M96" s="6">
        <v>85</v>
      </c>
      <c r="N96" s="5">
        <v>5</v>
      </c>
      <c r="O96" s="5">
        <v>4</v>
      </c>
      <c r="P96" s="5">
        <v>3</v>
      </c>
      <c r="Q96" s="5">
        <v>2</v>
      </c>
      <c r="R96" s="5">
        <v>3</v>
      </c>
      <c r="S96" s="7">
        <f t="shared" si="1"/>
        <v>2.6</v>
      </c>
      <c r="T96" s="5" t="s">
        <v>517</v>
      </c>
    </row>
    <row r="97" spans="1:20" x14ac:dyDescent="0.2">
      <c r="A97" s="5" t="s">
        <v>476</v>
      </c>
      <c r="B97" s="5" t="s">
        <v>429</v>
      </c>
      <c r="C97" s="5" t="s">
        <v>372</v>
      </c>
      <c r="D97" s="5" t="s">
        <v>82</v>
      </c>
      <c r="E97" s="5" t="s">
        <v>64</v>
      </c>
      <c r="F97" s="5" t="s">
        <v>17</v>
      </c>
      <c r="G97" s="5" t="s">
        <v>482</v>
      </c>
      <c r="H97" s="5" t="s">
        <v>497</v>
      </c>
      <c r="I97" s="5" t="s">
        <v>499</v>
      </c>
      <c r="J97" s="5" t="s">
        <v>396</v>
      </c>
      <c r="K97" s="5" t="s">
        <v>288</v>
      </c>
      <c r="L97" s="5">
        <v>25</v>
      </c>
      <c r="M97" s="6">
        <v>140</v>
      </c>
      <c r="N97" s="5">
        <v>4</v>
      </c>
      <c r="O97" s="5">
        <v>3</v>
      </c>
      <c r="P97" s="5">
        <v>3</v>
      </c>
      <c r="Q97" s="5">
        <v>3</v>
      </c>
      <c r="R97" s="5">
        <v>3</v>
      </c>
      <c r="S97" s="7">
        <f t="shared" si="1"/>
        <v>2.75</v>
      </c>
      <c r="T97" s="5" t="s">
        <v>517</v>
      </c>
    </row>
    <row r="98" spans="1:20" x14ac:dyDescent="0.2">
      <c r="A98" s="5" t="s">
        <v>449</v>
      </c>
      <c r="B98" s="5" t="s">
        <v>402</v>
      </c>
      <c r="C98" s="5" t="s">
        <v>372</v>
      </c>
      <c r="D98" s="5" t="s">
        <v>86</v>
      </c>
      <c r="E98" s="5" t="s">
        <v>64</v>
      </c>
      <c r="F98" s="5" t="s">
        <v>84</v>
      </c>
      <c r="G98" s="5" t="s">
        <v>483</v>
      </c>
      <c r="H98" s="5" t="s">
        <v>489</v>
      </c>
      <c r="I98" s="5" t="s">
        <v>499</v>
      </c>
      <c r="J98" s="5" t="s">
        <v>396</v>
      </c>
      <c r="K98" s="5" t="s">
        <v>280</v>
      </c>
      <c r="L98" s="5">
        <v>25</v>
      </c>
      <c r="M98" s="6">
        <v>110</v>
      </c>
      <c r="N98" s="5">
        <v>5</v>
      </c>
      <c r="O98" s="5">
        <v>4</v>
      </c>
      <c r="P98" s="5">
        <v>4</v>
      </c>
      <c r="Q98" s="5">
        <v>2</v>
      </c>
      <c r="R98" s="5">
        <v>4</v>
      </c>
      <c r="S98" s="7">
        <f t="shared" si="1"/>
        <v>2.95</v>
      </c>
      <c r="T98" s="5" t="s">
        <v>517</v>
      </c>
    </row>
    <row r="99" spans="1:20" x14ac:dyDescent="0.2">
      <c r="A99" s="5" t="s">
        <v>449</v>
      </c>
      <c r="B99" s="5" t="s">
        <v>402</v>
      </c>
      <c r="C99" s="5" t="s">
        <v>372</v>
      </c>
      <c r="D99" s="5" t="s">
        <v>87</v>
      </c>
      <c r="E99" s="5" t="s">
        <v>64</v>
      </c>
      <c r="F99" s="5" t="s">
        <v>84</v>
      </c>
      <c r="G99" s="5" t="s">
        <v>483</v>
      </c>
      <c r="H99" s="5" t="s">
        <v>489</v>
      </c>
      <c r="I99" s="5" t="s">
        <v>499</v>
      </c>
      <c r="J99" s="5" t="s">
        <v>396</v>
      </c>
      <c r="K99" s="5" t="s">
        <v>281</v>
      </c>
      <c r="L99" s="5">
        <v>25</v>
      </c>
      <c r="M99" s="6">
        <v>220</v>
      </c>
      <c r="N99" s="5">
        <v>5</v>
      </c>
      <c r="O99" s="5">
        <v>4</v>
      </c>
      <c r="P99" s="5">
        <v>4</v>
      </c>
      <c r="Q99" s="5">
        <v>2</v>
      </c>
      <c r="R99" s="5">
        <v>4</v>
      </c>
      <c r="S99" s="7">
        <f t="shared" si="1"/>
        <v>2.95</v>
      </c>
      <c r="T99" s="5" t="s">
        <v>517</v>
      </c>
    </row>
    <row r="100" spans="1:20" x14ac:dyDescent="0.2">
      <c r="A100" s="5" t="s">
        <v>477</v>
      </c>
      <c r="B100" s="5" t="s">
        <v>430</v>
      </c>
      <c r="C100" s="5" t="s">
        <v>372</v>
      </c>
      <c r="D100" s="5" t="s">
        <v>88</v>
      </c>
      <c r="E100" s="5" t="s">
        <v>64</v>
      </c>
      <c r="F100" s="5" t="s">
        <v>61</v>
      </c>
      <c r="G100" s="5" t="s">
        <v>483</v>
      </c>
      <c r="H100" s="5" t="s">
        <v>498</v>
      </c>
      <c r="I100" s="5" t="s">
        <v>499</v>
      </c>
      <c r="J100" s="5" t="s">
        <v>511</v>
      </c>
      <c r="K100" s="5" t="s">
        <v>280</v>
      </c>
      <c r="L100" s="5">
        <v>100</v>
      </c>
      <c r="M100" s="6">
        <v>35</v>
      </c>
      <c r="N100" s="5">
        <v>5</v>
      </c>
      <c r="O100" s="5">
        <v>4</v>
      </c>
      <c r="P100" s="5">
        <v>2</v>
      </c>
      <c r="Q100" s="5">
        <v>2</v>
      </c>
      <c r="R100" s="5">
        <v>2</v>
      </c>
      <c r="S100" s="7">
        <f t="shared" si="1"/>
        <v>2.25</v>
      </c>
      <c r="T100" s="5" t="s">
        <v>519</v>
      </c>
    </row>
    <row r="101" spans="1:20" x14ac:dyDescent="0.2">
      <c r="A101" s="5" t="s">
        <v>481</v>
      </c>
      <c r="B101" s="5" t="s">
        <v>434</v>
      </c>
      <c r="C101" s="5" t="s">
        <v>372</v>
      </c>
      <c r="D101" s="5" t="s">
        <v>89</v>
      </c>
      <c r="E101" s="5" t="s">
        <v>64</v>
      </c>
      <c r="F101" s="5" t="s">
        <v>41</v>
      </c>
      <c r="G101" s="5" t="s">
        <v>483</v>
      </c>
      <c r="H101" s="5" t="s">
        <v>489</v>
      </c>
      <c r="I101" s="5" t="s">
        <v>499</v>
      </c>
      <c r="J101" s="5" t="s">
        <v>515</v>
      </c>
      <c r="K101" s="5" t="s">
        <v>290</v>
      </c>
      <c r="L101" s="5">
        <v>50</v>
      </c>
      <c r="M101" s="6">
        <v>12</v>
      </c>
      <c r="N101" s="5">
        <v>5</v>
      </c>
      <c r="O101" s="5">
        <v>2</v>
      </c>
      <c r="P101" s="5">
        <v>2</v>
      </c>
      <c r="Q101" s="5">
        <v>2</v>
      </c>
      <c r="R101" s="5">
        <v>1</v>
      </c>
      <c r="S101" s="7">
        <f t="shared" si="1"/>
        <v>1.6</v>
      </c>
      <c r="T101" s="5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3CA2-A7C2-F942-8DBB-56BF81DE6D42}">
  <dimension ref="A1:R111"/>
  <sheetViews>
    <sheetView topLeftCell="H1" zoomScale="101" workbookViewId="0">
      <selection activeCell="Q19" sqref="Q19"/>
    </sheetView>
  </sheetViews>
  <sheetFormatPr baseColWidth="10" defaultRowHeight="16" x14ac:dyDescent="0.2"/>
  <cols>
    <col min="1" max="2" width="33.33203125" bestFit="1" customWidth="1"/>
    <col min="3" max="3" width="15.6640625" bestFit="1" customWidth="1"/>
    <col min="4" max="4" width="8.6640625" bestFit="1" customWidth="1"/>
    <col min="5" max="5" width="18.5" bestFit="1" customWidth="1"/>
    <col min="6" max="6" width="13.5" bestFit="1" customWidth="1"/>
    <col min="7" max="7" width="20.5" bestFit="1" customWidth="1"/>
    <col min="9" max="9" width="15.33203125" bestFit="1" customWidth="1"/>
    <col min="10" max="10" width="17" bestFit="1" customWidth="1"/>
    <col min="11" max="11" width="16.6640625" bestFit="1" customWidth="1"/>
    <col min="12" max="12" width="11.33203125" bestFit="1" customWidth="1"/>
    <col min="13" max="13" width="12.33203125" bestFit="1" customWidth="1"/>
    <col min="14" max="14" width="11.6640625" bestFit="1" customWidth="1"/>
    <col min="15" max="15" width="14.33203125" bestFit="1" customWidth="1"/>
    <col min="16" max="16" width="25.1640625" bestFit="1" customWidth="1"/>
  </cols>
  <sheetData>
    <row r="1" spans="1:18" x14ac:dyDescent="0.2">
      <c r="A1" s="9" t="s">
        <v>3</v>
      </c>
      <c r="B1" s="9" t="s">
        <v>297</v>
      </c>
      <c r="C1" s="9" t="s">
        <v>6</v>
      </c>
      <c r="D1" s="9" t="s">
        <v>5</v>
      </c>
      <c r="E1" s="9" t="s">
        <v>534</v>
      </c>
      <c r="F1" s="9" t="s">
        <v>4</v>
      </c>
      <c r="G1" s="9" t="s">
        <v>522</v>
      </c>
      <c r="H1" s="9" t="s">
        <v>523</v>
      </c>
      <c r="I1" s="9" t="s">
        <v>163</v>
      </c>
      <c r="J1" s="9" t="s">
        <v>524</v>
      </c>
      <c r="K1" s="9" t="s">
        <v>525</v>
      </c>
      <c r="L1" s="9" t="s">
        <v>526</v>
      </c>
      <c r="M1" s="9" t="s">
        <v>375</v>
      </c>
      <c r="N1" s="9" t="s">
        <v>527</v>
      </c>
      <c r="O1" s="9" t="s">
        <v>529</v>
      </c>
      <c r="P1" s="9" t="s">
        <v>530</v>
      </c>
      <c r="Q1" s="1"/>
      <c r="R1" s="1"/>
    </row>
    <row r="2" spans="1:18" x14ac:dyDescent="0.2">
      <c r="A2" s="5" t="s">
        <v>8</v>
      </c>
      <c r="B2" s="5" t="s">
        <v>7</v>
      </c>
      <c r="C2" s="5" t="s">
        <v>10</v>
      </c>
      <c r="D2" s="5" t="s">
        <v>9</v>
      </c>
      <c r="E2" s="5" t="s">
        <v>535</v>
      </c>
      <c r="F2" s="5">
        <v>1</v>
      </c>
      <c r="G2" s="5">
        <v>25</v>
      </c>
      <c r="H2" s="11" t="s">
        <v>278</v>
      </c>
      <c r="I2" s="5" t="s">
        <v>278</v>
      </c>
      <c r="J2" s="5" t="s">
        <v>278</v>
      </c>
      <c r="K2" s="5" t="s">
        <v>278</v>
      </c>
      <c r="L2" s="5" t="s">
        <v>278</v>
      </c>
      <c r="M2" s="5" t="s">
        <v>278</v>
      </c>
      <c r="N2" s="5" t="s">
        <v>278</v>
      </c>
      <c r="O2" s="5" t="str">
        <f>IF(OR(H2="N/A",K2="N/A",N2="N/A"),"N/A",IF(N2&gt;0,"Shortage",IF(K2&lt;=L2,"Low Stock",IF(K2&lt;=M2,"Reorder Needed","OK"))))</f>
        <v>N/A</v>
      </c>
      <c r="P2" s="5" t="s">
        <v>278</v>
      </c>
    </row>
    <row r="3" spans="1:18" x14ac:dyDescent="0.2">
      <c r="A3" s="5" t="s">
        <v>11</v>
      </c>
      <c r="B3" s="5" t="s">
        <v>14</v>
      </c>
      <c r="C3" s="5" t="s">
        <v>13</v>
      </c>
      <c r="D3" s="5" t="s">
        <v>12</v>
      </c>
      <c r="E3" s="5" t="s">
        <v>536</v>
      </c>
      <c r="F3" s="5">
        <v>1</v>
      </c>
      <c r="G3" s="5"/>
      <c r="H3" s="11" t="s">
        <v>278</v>
      </c>
      <c r="I3" s="5" t="s">
        <v>278</v>
      </c>
      <c r="J3" s="5" t="s">
        <v>278</v>
      </c>
      <c r="K3" s="5" t="s">
        <v>278</v>
      </c>
      <c r="L3" s="5" t="s">
        <v>278</v>
      </c>
      <c r="M3" s="5" t="s">
        <v>278</v>
      </c>
      <c r="N3" s="5" t="s">
        <v>278</v>
      </c>
      <c r="O3" s="5" t="s">
        <v>278</v>
      </c>
      <c r="P3" s="5" t="s">
        <v>278</v>
      </c>
    </row>
    <row r="4" spans="1:18" x14ac:dyDescent="0.2">
      <c r="A4" s="5" t="s">
        <v>64</v>
      </c>
      <c r="B4" s="5" t="s">
        <v>64</v>
      </c>
      <c r="C4" s="5" t="s">
        <v>65</v>
      </c>
      <c r="D4" s="5" t="s">
        <v>12</v>
      </c>
      <c r="E4" s="5" t="s">
        <v>536</v>
      </c>
      <c r="F4" s="5">
        <v>1</v>
      </c>
      <c r="G4" s="5"/>
      <c r="H4" s="11" t="s">
        <v>278</v>
      </c>
      <c r="I4" s="5" t="s">
        <v>278</v>
      </c>
      <c r="J4" s="5" t="s">
        <v>278</v>
      </c>
      <c r="K4" s="5" t="s">
        <v>278</v>
      </c>
      <c r="L4" s="5" t="s">
        <v>278</v>
      </c>
      <c r="M4" s="5" t="s">
        <v>278</v>
      </c>
      <c r="N4" s="5" t="s">
        <v>278</v>
      </c>
      <c r="O4" s="5" t="s">
        <v>278</v>
      </c>
      <c r="P4" s="5" t="s">
        <v>278</v>
      </c>
    </row>
    <row r="5" spans="1:18" x14ac:dyDescent="0.2">
      <c r="A5" s="5" t="s">
        <v>93</v>
      </c>
      <c r="B5" s="5" t="s">
        <v>93</v>
      </c>
      <c r="C5" s="5" t="s">
        <v>29</v>
      </c>
      <c r="D5" s="5" t="s">
        <v>12</v>
      </c>
      <c r="E5" s="5" t="s">
        <v>536</v>
      </c>
      <c r="F5" s="5">
        <v>1</v>
      </c>
      <c r="G5" s="5"/>
      <c r="H5" s="11" t="s">
        <v>278</v>
      </c>
      <c r="I5" s="5" t="s">
        <v>278</v>
      </c>
      <c r="J5" s="5" t="s">
        <v>278</v>
      </c>
      <c r="K5" s="5" t="s">
        <v>278</v>
      </c>
      <c r="L5" s="5" t="s">
        <v>278</v>
      </c>
      <c r="M5" s="5" t="s">
        <v>278</v>
      </c>
      <c r="N5" s="5" t="s">
        <v>278</v>
      </c>
      <c r="O5" s="5" t="s">
        <v>278</v>
      </c>
      <c r="P5" s="5" t="s">
        <v>278</v>
      </c>
    </row>
    <row r="6" spans="1:18" x14ac:dyDescent="0.2">
      <c r="A6" s="5" t="s">
        <v>105</v>
      </c>
      <c r="B6" s="5" t="s">
        <v>105</v>
      </c>
      <c r="C6" s="5" t="s">
        <v>29</v>
      </c>
      <c r="D6" s="5" t="s">
        <v>12</v>
      </c>
      <c r="E6" s="5" t="s">
        <v>536</v>
      </c>
      <c r="F6" s="5">
        <v>1</v>
      </c>
      <c r="G6" s="5"/>
      <c r="H6" s="11" t="s">
        <v>278</v>
      </c>
      <c r="I6" s="5" t="s">
        <v>278</v>
      </c>
      <c r="J6" s="5" t="s">
        <v>278</v>
      </c>
      <c r="K6" s="5" t="s">
        <v>278</v>
      </c>
      <c r="L6" s="5" t="s">
        <v>278</v>
      </c>
      <c r="M6" s="5" t="s">
        <v>278</v>
      </c>
      <c r="N6" s="5" t="s">
        <v>278</v>
      </c>
      <c r="O6" s="5" t="s">
        <v>278</v>
      </c>
      <c r="P6" s="5" t="s">
        <v>278</v>
      </c>
    </row>
    <row r="7" spans="1:18" x14ac:dyDescent="0.2">
      <c r="A7" s="5" t="s">
        <v>117</v>
      </c>
      <c r="B7" s="5" t="s">
        <v>117</v>
      </c>
      <c r="C7" s="5" t="s">
        <v>118</v>
      </c>
      <c r="D7" s="5" t="s">
        <v>12</v>
      </c>
      <c r="E7" s="5" t="s">
        <v>536</v>
      </c>
      <c r="F7" s="5">
        <v>1</v>
      </c>
      <c r="G7" s="5"/>
      <c r="H7" s="11" t="s">
        <v>278</v>
      </c>
      <c r="I7" s="5" t="s">
        <v>278</v>
      </c>
      <c r="J7" s="5" t="s">
        <v>278</v>
      </c>
      <c r="K7" s="5" t="s">
        <v>278</v>
      </c>
      <c r="L7" s="5" t="s">
        <v>278</v>
      </c>
      <c r="M7" s="5" t="s">
        <v>278</v>
      </c>
      <c r="N7" s="5" t="s">
        <v>278</v>
      </c>
      <c r="O7" s="5" t="s">
        <v>278</v>
      </c>
      <c r="P7" s="5" t="s">
        <v>278</v>
      </c>
    </row>
    <row r="8" spans="1:18" x14ac:dyDescent="0.2">
      <c r="A8" s="5" t="s">
        <v>135</v>
      </c>
      <c r="B8" s="5" t="s">
        <v>135</v>
      </c>
      <c r="C8" s="5" t="s">
        <v>35</v>
      </c>
      <c r="D8" s="5" t="s">
        <v>12</v>
      </c>
      <c r="E8" s="5" t="s">
        <v>536</v>
      </c>
      <c r="F8" s="5">
        <v>1</v>
      </c>
      <c r="G8" s="5"/>
      <c r="H8" s="11" t="s">
        <v>278</v>
      </c>
      <c r="I8" s="5" t="s">
        <v>278</v>
      </c>
      <c r="J8" s="5" t="s">
        <v>278</v>
      </c>
      <c r="K8" s="5" t="s">
        <v>278</v>
      </c>
      <c r="L8" s="5" t="s">
        <v>278</v>
      </c>
      <c r="M8" s="5" t="s">
        <v>278</v>
      </c>
      <c r="N8" s="5" t="s">
        <v>278</v>
      </c>
      <c r="O8" s="5" t="s">
        <v>278</v>
      </c>
      <c r="P8" s="5" t="s">
        <v>278</v>
      </c>
    </row>
    <row r="9" spans="1:18" x14ac:dyDescent="0.2">
      <c r="A9" s="5" t="s">
        <v>147</v>
      </c>
      <c r="B9" s="5" t="s">
        <v>147</v>
      </c>
      <c r="C9" s="5" t="s">
        <v>148</v>
      </c>
      <c r="D9" s="5" t="s">
        <v>12</v>
      </c>
      <c r="E9" s="5" t="s">
        <v>536</v>
      </c>
      <c r="F9" s="5">
        <v>1</v>
      </c>
      <c r="G9" s="5"/>
      <c r="H9" s="5" t="s">
        <v>278</v>
      </c>
      <c r="I9" s="5" t="s">
        <v>278</v>
      </c>
      <c r="J9" s="5" t="s">
        <v>278</v>
      </c>
      <c r="K9" s="5" t="s">
        <v>278</v>
      </c>
      <c r="L9" s="5" t="s">
        <v>278</v>
      </c>
      <c r="M9" s="5" t="s">
        <v>278</v>
      </c>
      <c r="N9" s="5" t="s">
        <v>278</v>
      </c>
      <c r="O9" s="5" t="s">
        <v>278</v>
      </c>
      <c r="P9" s="5" t="s">
        <v>278</v>
      </c>
    </row>
    <row r="10" spans="1:18" x14ac:dyDescent="0.2">
      <c r="A10" s="5" t="s">
        <v>15</v>
      </c>
      <c r="B10" s="5" t="s">
        <v>14</v>
      </c>
      <c r="C10" s="5" t="s">
        <v>17</v>
      </c>
      <c r="D10" s="5" t="s">
        <v>16</v>
      </c>
      <c r="E10" s="5" t="s">
        <v>537</v>
      </c>
      <c r="F10" s="5">
        <v>1</v>
      </c>
      <c r="G10" s="5"/>
      <c r="H10" s="5">
        <v>25</v>
      </c>
      <c r="I10" s="5">
        <v>49</v>
      </c>
      <c r="J10" s="5">
        <v>5</v>
      </c>
      <c r="K10" s="5">
        <v>44</v>
      </c>
      <c r="L10" s="5">
        <v>5</v>
      </c>
      <c r="M10" s="5">
        <v>30</v>
      </c>
      <c r="N10" s="5">
        <v>0</v>
      </c>
      <c r="O10" s="5" t="str">
        <f t="shared" ref="O10:O68" si="0">IF(K10&lt;H10,"Shortage",IF((K10-H10)&lt;=L10,"Reorder Needed","OK"))</f>
        <v>OK</v>
      </c>
      <c r="P10" s="5" t="s">
        <v>531</v>
      </c>
    </row>
    <row r="11" spans="1:18" x14ac:dyDescent="0.2">
      <c r="A11" s="5" t="s">
        <v>18</v>
      </c>
      <c r="B11" s="5" t="s">
        <v>14</v>
      </c>
      <c r="C11" s="5" t="s">
        <v>17</v>
      </c>
      <c r="D11" s="5" t="s">
        <v>16</v>
      </c>
      <c r="E11" s="5" t="s">
        <v>537</v>
      </c>
      <c r="F11" s="5">
        <v>1</v>
      </c>
      <c r="G11" s="5"/>
      <c r="H11" s="5">
        <v>25</v>
      </c>
      <c r="I11" s="5">
        <v>42</v>
      </c>
      <c r="J11" s="5">
        <v>6</v>
      </c>
      <c r="K11" s="5">
        <v>36</v>
      </c>
      <c r="L11" s="5">
        <v>5</v>
      </c>
      <c r="M11" s="5">
        <v>30</v>
      </c>
      <c r="N11" s="5">
        <v>0</v>
      </c>
      <c r="O11" s="5" t="str">
        <f t="shared" si="0"/>
        <v>OK</v>
      </c>
      <c r="P11" s="5" t="s">
        <v>531</v>
      </c>
    </row>
    <row r="12" spans="1:18" x14ac:dyDescent="0.2">
      <c r="A12" s="5" t="s">
        <v>19</v>
      </c>
      <c r="B12" s="5" t="s">
        <v>14</v>
      </c>
      <c r="C12" s="5" t="s">
        <v>13</v>
      </c>
      <c r="D12" s="5" t="s">
        <v>20</v>
      </c>
      <c r="E12" s="5" t="s">
        <v>538</v>
      </c>
      <c r="F12" s="5">
        <v>4</v>
      </c>
      <c r="G12" s="5"/>
      <c r="H12" s="5">
        <v>100</v>
      </c>
      <c r="I12" s="5">
        <v>140</v>
      </c>
      <c r="J12" s="5">
        <v>30</v>
      </c>
      <c r="K12" s="5">
        <v>110</v>
      </c>
      <c r="L12" s="5">
        <v>20</v>
      </c>
      <c r="M12" s="5">
        <v>120</v>
      </c>
      <c r="N12" s="5">
        <v>0</v>
      </c>
      <c r="O12" s="5" t="str">
        <f t="shared" si="0"/>
        <v>Reorder Needed</v>
      </c>
      <c r="P12" s="5" t="s">
        <v>531</v>
      </c>
    </row>
    <row r="13" spans="1:18" x14ac:dyDescent="0.2">
      <c r="A13" s="5" t="s">
        <v>42</v>
      </c>
      <c r="B13" s="5" t="s">
        <v>14</v>
      </c>
      <c r="C13" s="5" t="s">
        <v>0</v>
      </c>
      <c r="D13" s="5" t="s">
        <v>16</v>
      </c>
      <c r="E13" s="5" t="s">
        <v>537</v>
      </c>
      <c r="F13" s="5">
        <v>1</v>
      </c>
      <c r="G13" s="5"/>
      <c r="H13" s="5">
        <v>25</v>
      </c>
      <c r="I13" s="5">
        <v>28</v>
      </c>
      <c r="J13" s="5">
        <v>1</v>
      </c>
      <c r="K13" s="5">
        <v>27</v>
      </c>
      <c r="L13" s="5">
        <v>5</v>
      </c>
      <c r="M13" s="5">
        <v>30</v>
      </c>
      <c r="N13" s="5">
        <v>0</v>
      </c>
      <c r="O13" s="5" t="str">
        <f t="shared" si="0"/>
        <v>Reorder Needed</v>
      </c>
      <c r="P13" s="5" t="s">
        <v>531</v>
      </c>
    </row>
    <row r="14" spans="1:18" x14ac:dyDescent="0.2">
      <c r="A14" s="5" t="s">
        <v>43</v>
      </c>
      <c r="B14" s="5" t="s">
        <v>14</v>
      </c>
      <c r="C14" s="5" t="s">
        <v>0</v>
      </c>
      <c r="D14" s="5" t="s">
        <v>16</v>
      </c>
      <c r="E14" s="5" t="s">
        <v>537</v>
      </c>
      <c r="F14" s="5">
        <v>4</v>
      </c>
      <c r="G14" s="5"/>
      <c r="H14" s="5">
        <v>100</v>
      </c>
      <c r="I14" s="5">
        <v>161</v>
      </c>
      <c r="J14" s="5">
        <v>10</v>
      </c>
      <c r="K14" s="5">
        <v>151</v>
      </c>
      <c r="L14" s="5">
        <v>20</v>
      </c>
      <c r="M14" s="5">
        <v>120</v>
      </c>
      <c r="N14" s="5">
        <v>0</v>
      </c>
      <c r="O14" s="5" t="str">
        <f t="shared" si="0"/>
        <v>OK</v>
      </c>
      <c r="P14" s="5" t="s">
        <v>531</v>
      </c>
    </row>
    <row r="15" spans="1:18" x14ac:dyDescent="0.2">
      <c r="A15" s="5" t="s">
        <v>44</v>
      </c>
      <c r="B15" s="5" t="s">
        <v>14</v>
      </c>
      <c r="C15" s="5" t="s">
        <v>29</v>
      </c>
      <c r="D15" s="5" t="s">
        <v>45</v>
      </c>
      <c r="E15" s="5" t="s">
        <v>537</v>
      </c>
      <c r="F15" s="5">
        <v>1</v>
      </c>
      <c r="G15" s="5"/>
      <c r="H15" s="5">
        <v>25</v>
      </c>
      <c r="I15" s="5">
        <v>48</v>
      </c>
      <c r="J15" s="5">
        <v>4</v>
      </c>
      <c r="K15" s="5">
        <v>44</v>
      </c>
      <c r="L15" s="5">
        <v>5</v>
      </c>
      <c r="M15" s="5">
        <v>30</v>
      </c>
      <c r="N15" s="5">
        <v>0</v>
      </c>
      <c r="O15" s="5" t="str">
        <f t="shared" si="0"/>
        <v>OK</v>
      </c>
      <c r="P15" s="5" t="s">
        <v>531</v>
      </c>
    </row>
    <row r="16" spans="1:18" x14ac:dyDescent="0.2">
      <c r="A16" s="5" t="s">
        <v>46</v>
      </c>
      <c r="B16" s="5" t="s">
        <v>14</v>
      </c>
      <c r="C16" s="5" t="s">
        <v>0</v>
      </c>
      <c r="D16" s="5" t="s">
        <v>47</v>
      </c>
      <c r="E16" s="5" t="s">
        <v>537</v>
      </c>
      <c r="F16" s="5">
        <v>16</v>
      </c>
      <c r="G16" s="5"/>
      <c r="H16" s="5">
        <v>400</v>
      </c>
      <c r="I16" s="5">
        <v>340</v>
      </c>
      <c r="J16" s="5">
        <v>80</v>
      </c>
      <c r="K16" s="5">
        <v>260</v>
      </c>
      <c r="L16" s="5">
        <v>80</v>
      </c>
      <c r="M16" s="5">
        <v>480</v>
      </c>
      <c r="N16" s="5">
        <v>140</v>
      </c>
      <c r="O16" s="5" t="str">
        <f t="shared" si="0"/>
        <v>Shortage</v>
      </c>
      <c r="P16" s="5" t="s">
        <v>531</v>
      </c>
    </row>
    <row r="17" spans="1:16" x14ac:dyDescent="0.2">
      <c r="A17" s="5" t="s">
        <v>48</v>
      </c>
      <c r="B17" s="5" t="s">
        <v>14</v>
      </c>
      <c r="C17" s="5" t="s">
        <v>0</v>
      </c>
      <c r="D17" s="5" t="s">
        <v>16</v>
      </c>
      <c r="E17" s="5" t="s">
        <v>537</v>
      </c>
      <c r="F17" s="5">
        <v>1</v>
      </c>
      <c r="G17" s="5"/>
      <c r="H17" s="5">
        <v>25</v>
      </c>
      <c r="I17" s="5">
        <v>44</v>
      </c>
      <c r="J17" s="5">
        <v>6</v>
      </c>
      <c r="K17" s="5">
        <v>38</v>
      </c>
      <c r="L17" s="5">
        <v>5</v>
      </c>
      <c r="M17" s="5">
        <v>30</v>
      </c>
      <c r="N17" s="5">
        <v>0</v>
      </c>
      <c r="O17" s="5" t="str">
        <f t="shared" si="0"/>
        <v>OK</v>
      </c>
      <c r="P17" s="5" t="s">
        <v>531</v>
      </c>
    </row>
    <row r="18" spans="1:16" x14ac:dyDescent="0.2">
      <c r="A18" s="5" t="s">
        <v>49</v>
      </c>
      <c r="B18" s="5" t="s">
        <v>14</v>
      </c>
      <c r="C18" s="5" t="s">
        <v>29</v>
      </c>
      <c r="D18" s="5" t="s">
        <v>16</v>
      </c>
      <c r="E18" s="5" t="s">
        <v>537</v>
      </c>
      <c r="F18" s="5">
        <v>2</v>
      </c>
      <c r="G18" s="5"/>
      <c r="H18" s="5">
        <v>50</v>
      </c>
      <c r="I18" s="5">
        <v>70</v>
      </c>
      <c r="J18" s="5">
        <v>15</v>
      </c>
      <c r="K18" s="5">
        <v>55</v>
      </c>
      <c r="L18" s="5">
        <v>10</v>
      </c>
      <c r="M18" s="5">
        <v>60</v>
      </c>
      <c r="N18" s="5">
        <v>0</v>
      </c>
      <c r="O18" s="5" t="str">
        <f t="shared" si="0"/>
        <v>Reorder Needed</v>
      </c>
      <c r="P18" s="5" t="s">
        <v>531</v>
      </c>
    </row>
    <row r="19" spans="1:16" x14ac:dyDescent="0.2">
      <c r="A19" s="5" t="s">
        <v>50</v>
      </c>
      <c r="B19" s="5" t="s">
        <v>14</v>
      </c>
      <c r="C19" s="5" t="s">
        <v>29</v>
      </c>
      <c r="D19" s="5" t="s">
        <v>16</v>
      </c>
      <c r="E19" s="5" t="s">
        <v>537</v>
      </c>
      <c r="F19" s="5">
        <v>1</v>
      </c>
      <c r="G19" s="5"/>
      <c r="H19" s="5">
        <v>25</v>
      </c>
      <c r="I19" s="5">
        <v>43</v>
      </c>
      <c r="J19" s="5">
        <v>1</v>
      </c>
      <c r="K19" s="5">
        <v>42</v>
      </c>
      <c r="L19" s="5">
        <v>5</v>
      </c>
      <c r="M19" s="5">
        <v>30</v>
      </c>
      <c r="N19" s="5">
        <v>0</v>
      </c>
      <c r="O19" s="5" t="str">
        <f t="shared" si="0"/>
        <v>OK</v>
      </c>
      <c r="P19" s="5" t="s">
        <v>532</v>
      </c>
    </row>
    <row r="20" spans="1:16" x14ac:dyDescent="0.2">
      <c r="A20" s="5" t="s">
        <v>51</v>
      </c>
      <c r="B20" s="5" t="s">
        <v>14</v>
      </c>
      <c r="C20" s="5" t="s">
        <v>29</v>
      </c>
      <c r="D20" s="5" t="s">
        <v>16</v>
      </c>
      <c r="E20" s="5" t="s">
        <v>537</v>
      </c>
      <c r="F20" s="5">
        <v>1</v>
      </c>
      <c r="G20" s="5"/>
      <c r="H20" s="5">
        <v>25</v>
      </c>
      <c r="I20" s="5">
        <v>46</v>
      </c>
      <c r="J20" s="5">
        <v>2</v>
      </c>
      <c r="K20" s="5">
        <v>44</v>
      </c>
      <c r="L20" s="5">
        <v>5</v>
      </c>
      <c r="M20" s="5">
        <v>30</v>
      </c>
      <c r="N20" s="5">
        <v>0</v>
      </c>
      <c r="O20" s="5" t="str">
        <f t="shared" si="0"/>
        <v>OK</v>
      </c>
      <c r="P20" s="5" t="s">
        <v>531</v>
      </c>
    </row>
    <row r="21" spans="1:16" x14ac:dyDescent="0.2">
      <c r="A21" s="5" t="s">
        <v>52</v>
      </c>
      <c r="B21" s="5" t="s">
        <v>14</v>
      </c>
      <c r="C21" s="5" t="s">
        <v>38</v>
      </c>
      <c r="D21" s="5" t="s">
        <v>16</v>
      </c>
      <c r="E21" s="5" t="s">
        <v>537</v>
      </c>
      <c r="F21" s="5">
        <v>1</v>
      </c>
      <c r="G21" s="5"/>
      <c r="H21" s="5">
        <v>25</v>
      </c>
      <c r="I21" s="5">
        <v>47</v>
      </c>
      <c r="J21" s="5">
        <v>3</v>
      </c>
      <c r="K21" s="5">
        <v>44</v>
      </c>
      <c r="L21" s="5">
        <v>5</v>
      </c>
      <c r="M21" s="5">
        <v>30</v>
      </c>
      <c r="N21" s="5">
        <v>0</v>
      </c>
      <c r="O21" s="5" t="str">
        <f t="shared" si="0"/>
        <v>OK</v>
      </c>
      <c r="P21" s="5" t="s">
        <v>531</v>
      </c>
    </row>
    <row r="22" spans="1:16" x14ac:dyDescent="0.2">
      <c r="A22" s="5" t="s">
        <v>53</v>
      </c>
      <c r="B22" s="5" t="s">
        <v>14</v>
      </c>
      <c r="C22" s="5" t="s">
        <v>35</v>
      </c>
      <c r="D22" s="5" t="s">
        <v>54</v>
      </c>
      <c r="E22" s="5" t="s">
        <v>537</v>
      </c>
      <c r="F22" s="5">
        <v>4</v>
      </c>
      <c r="G22" s="5"/>
      <c r="H22" s="5">
        <v>100</v>
      </c>
      <c r="I22" s="5">
        <v>75</v>
      </c>
      <c r="J22" s="5">
        <v>10</v>
      </c>
      <c r="K22" s="5">
        <v>65</v>
      </c>
      <c r="L22" s="5">
        <v>20</v>
      </c>
      <c r="M22" s="5">
        <v>120</v>
      </c>
      <c r="N22" s="5">
        <v>35</v>
      </c>
      <c r="O22" s="5" t="str">
        <f t="shared" si="0"/>
        <v>Shortage</v>
      </c>
      <c r="P22" s="5" t="s">
        <v>532</v>
      </c>
    </row>
    <row r="23" spans="1:16" x14ac:dyDescent="0.2">
      <c r="A23" s="5" t="s">
        <v>55</v>
      </c>
      <c r="B23" s="5" t="s">
        <v>14</v>
      </c>
      <c r="C23" s="5" t="s">
        <v>35</v>
      </c>
      <c r="D23" s="5" t="s">
        <v>16</v>
      </c>
      <c r="E23" s="5" t="s">
        <v>537</v>
      </c>
      <c r="F23" s="5">
        <v>1</v>
      </c>
      <c r="G23" s="5"/>
      <c r="H23" s="5">
        <v>25</v>
      </c>
      <c r="I23" s="5">
        <v>48</v>
      </c>
      <c r="J23" s="5">
        <v>4</v>
      </c>
      <c r="K23" s="5">
        <v>44</v>
      </c>
      <c r="L23" s="5">
        <v>5</v>
      </c>
      <c r="M23" s="5">
        <v>30</v>
      </c>
      <c r="N23" s="5">
        <v>0</v>
      </c>
      <c r="O23" s="5" t="str">
        <f t="shared" si="0"/>
        <v>OK</v>
      </c>
      <c r="P23" s="5" t="s">
        <v>532</v>
      </c>
    </row>
    <row r="24" spans="1:16" x14ac:dyDescent="0.2">
      <c r="A24" s="5" t="s">
        <v>56</v>
      </c>
      <c r="B24" s="5" t="s">
        <v>14</v>
      </c>
      <c r="C24" s="5" t="s">
        <v>35</v>
      </c>
      <c r="D24" s="5" t="s">
        <v>57</v>
      </c>
      <c r="E24" s="5" t="s">
        <v>537</v>
      </c>
      <c r="F24" s="5">
        <v>8</v>
      </c>
      <c r="G24" s="5"/>
      <c r="H24" s="5">
        <v>200</v>
      </c>
      <c r="I24" s="5">
        <v>150</v>
      </c>
      <c r="J24" s="5">
        <v>20</v>
      </c>
      <c r="K24" s="5">
        <v>130</v>
      </c>
      <c r="L24" s="5">
        <v>40</v>
      </c>
      <c r="M24" s="5">
        <v>240</v>
      </c>
      <c r="N24" s="5">
        <v>70</v>
      </c>
      <c r="O24" s="5" t="str">
        <f t="shared" si="0"/>
        <v>Shortage</v>
      </c>
      <c r="P24" s="5" t="s">
        <v>532</v>
      </c>
    </row>
    <row r="25" spans="1:16" x14ac:dyDescent="0.2">
      <c r="A25" s="5" t="s">
        <v>58</v>
      </c>
      <c r="B25" s="5" t="s">
        <v>14</v>
      </c>
      <c r="C25" s="5" t="s">
        <v>59</v>
      </c>
      <c r="D25" s="5" t="s">
        <v>16</v>
      </c>
      <c r="E25" s="5" t="s">
        <v>537</v>
      </c>
      <c r="F25" s="5">
        <v>1</v>
      </c>
      <c r="G25" s="5"/>
      <c r="H25" s="5">
        <v>25</v>
      </c>
      <c r="I25" s="5">
        <v>19</v>
      </c>
      <c r="J25" s="5">
        <v>5</v>
      </c>
      <c r="K25" s="5">
        <v>14</v>
      </c>
      <c r="L25" s="5">
        <v>5</v>
      </c>
      <c r="M25" s="5">
        <v>30</v>
      </c>
      <c r="N25" s="5">
        <v>11</v>
      </c>
      <c r="O25" s="5" t="str">
        <f t="shared" si="0"/>
        <v>Shortage</v>
      </c>
      <c r="P25" s="5" t="s">
        <v>532</v>
      </c>
    </row>
    <row r="26" spans="1:16" x14ac:dyDescent="0.2">
      <c r="A26" s="5" t="s">
        <v>60</v>
      </c>
      <c r="B26" s="5" t="s">
        <v>14</v>
      </c>
      <c r="C26" s="5" t="s">
        <v>61</v>
      </c>
      <c r="D26" s="5" t="s">
        <v>45</v>
      </c>
      <c r="E26" s="5" t="s">
        <v>61</v>
      </c>
      <c r="F26" s="5">
        <v>1</v>
      </c>
      <c r="G26" s="5"/>
      <c r="H26" s="5">
        <v>25</v>
      </c>
      <c r="I26" s="5">
        <v>49</v>
      </c>
      <c r="J26" s="5">
        <v>6</v>
      </c>
      <c r="K26" s="5">
        <v>43</v>
      </c>
      <c r="L26" s="5">
        <v>5</v>
      </c>
      <c r="M26" s="5">
        <v>30</v>
      </c>
      <c r="N26" s="5">
        <v>0</v>
      </c>
      <c r="O26" s="5" t="str">
        <f t="shared" si="0"/>
        <v>OK</v>
      </c>
      <c r="P26" s="5" t="s">
        <v>533</v>
      </c>
    </row>
    <row r="27" spans="1:16" x14ac:dyDescent="0.2">
      <c r="A27" s="5" t="s">
        <v>62</v>
      </c>
      <c r="B27" s="5" t="s">
        <v>14</v>
      </c>
      <c r="C27" s="5" t="s">
        <v>63</v>
      </c>
      <c r="D27" s="5" t="s">
        <v>45</v>
      </c>
      <c r="E27" s="5" t="s">
        <v>539</v>
      </c>
      <c r="F27" s="5">
        <v>1</v>
      </c>
      <c r="G27" s="5"/>
      <c r="H27" s="5">
        <v>25</v>
      </c>
      <c r="I27" s="5">
        <v>43</v>
      </c>
      <c r="J27" s="5">
        <v>7</v>
      </c>
      <c r="K27" s="5">
        <v>36</v>
      </c>
      <c r="L27" s="5">
        <v>5</v>
      </c>
      <c r="M27" s="5">
        <v>30</v>
      </c>
      <c r="N27" s="5">
        <v>0</v>
      </c>
      <c r="O27" s="5" t="str">
        <f t="shared" si="0"/>
        <v>OK</v>
      </c>
      <c r="P27" s="5" t="s">
        <v>533</v>
      </c>
    </row>
    <row r="28" spans="1:16" x14ac:dyDescent="0.2">
      <c r="A28" s="5" t="s">
        <v>66</v>
      </c>
      <c r="B28" s="5" t="s">
        <v>64</v>
      </c>
      <c r="C28" s="5" t="s">
        <v>65</v>
      </c>
      <c r="D28" s="5" t="s">
        <v>16</v>
      </c>
      <c r="E28" s="5" t="s">
        <v>538</v>
      </c>
      <c r="F28" s="5">
        <v>1</v>
      </c>
      <c r="G28" s="5"/>
      <c r="H28" s="5">
        <v>25</v>
      </c>
      <c r="I28" s="5">
        <v>27</v>
      </c>
      <c r="J28" s="5">
        <v>8</v>
      </c>
      <c r="K28" s="5">
        <v>19</v>
      </c>
      <c r="L28" s="5">
        <v>5</v>
      </c>
      <c r="M28" s="5">
        <v>30</v>
      </c>
      <c r="N28" s="5">
        <v>6</v>
      </c>
      <c r="O28" s="5" t="str">
        <f t="shared" si="0"/>
        <v>Shortage</v>
      </c>
      <c r="P28" s="5" t="s">
        <v>531</v>
      </c>
    </row>
    <row r="29" spans="1:16" x14ac:dyDescent="0.2">
      <c r="A29" s="5" t="s">
        <v>76</v>
      </c>
      <c r="B29" s="5" t="s">
        <v>64</v>
      </c>
      <c r="C29" s="5" t="s">
        <v>77</v>
      </c>
      <c r="D29" s="5" t="s">
        <v>16</v>
      </c>
      <c r="E29" s="5" t="s">
        <v>538</v>
      </c>
      <c r="F29" s="5">
        <v>1</v>
      </c>
      <c r="G29" s="5"/>
      <c r="H29" s="5">
        <v>25</v>
      </c>
      <c r="I29" s="5">
        <v>34</v>
      </c>
      <c r="J29" s="5">
        <v>9</v>
      </c>
      <c r="K29" s="5">
        <v>25</v>
      </c>
      <c r="L29" s="5">
        <v>5</v>
      </c>
      <c r="M29" s="5">
        <v>30</v>
      </c>
      <c r="N29" s="5">
        <v>0</v>
      </c>
      <c r="O29" s="5" t="str">
        <f t="shared" si="0"/>
        <v>Reorder Needed</v>
      </c>
      <c r="P29" s="5" t="s">
        <v>531</v>
      </c>
    </row>
    <row r="30" spans="1:16" x14ac:dyDescent="0.2">
      <c r="A30" s="5" t="s">
        <v>83</v>
      </c>
      <c r="B30" s="5" t="s">
        <v>64</v>
      </c>
      <c r="C30" s="5" t="s">
        <v>84</v>
      </c>
      <c r="D30" s="5" t="s">
        <v>16</v>
      </c>
      <c r="E30" s="5" t="s">
        <v>537</v>
      </c>
      <c r="F30" s="5">
        <v>1</v>
      </c>
      <c r="G30" s="5"/>
      <c r="H30" s="5">
        <v>25</v>
      </c>
      <c r="I30" s="5">
        <v>50</v>
      </c>
      <c r="J30" s="5">
        <v>10</v>
      </c>
      <c r="K30" s="5">
        <v>40</v>
      </c>
      <c r="L30" s="5">
        <v>5</v>
      </c>
      <c r="M30" s="5">
        <v>30</v>
      </c>
      <c r="N30" s="5">
        <v>0</v>
      </c>
      <c r="O30" s="5" t="str">
        <f t="shared" si="0"/>
        <v>OK</v>
      </c>
      <c r="P30" s="5" t="s">
        <v>531</v>
      </c>
    </row>
    <row r="31" spans="1:16" x14ac:dyDescent="0.2">
      <c r="A31" s="5" t="s">
        <v>91</v>
      </c>
      <c r="B31" s="5" t="s">
        <v>64</v>
      </c>
      <c r="C31" s="5" t="s">
        <v>17</v>
      </c>
      <c r="D31" s="5" t="s">
        <v>16</v>
      </c>
      <c r="E31" s="5" t="s">
        <v>537</v>
      </c>
      <c r="F31" s="5">
        <v>2</v>
      </c>
      <c r="G31" s="5"/>
      <c r="H31" s="5">
        <v>50</v>
      </c>
      <c r="I31" s="5">
        <v>72</v>
      </c>
      <c r="J31" s="5">
        <v>12</v>
      </c>
      <c r="K31" s="5">
        <v>60</v>
      </c>
      <c r="L31" s="5">
        <v>10</v>
      </c>
      <c r="M31" s="5">
        <v>60</v>
      </c>
      <c r="N31" s="5">
        <v>0</v>
      </c>
      <c r="O31" s="5" t="str">
        <f t="shared" si="0"/>
        <v>Reorder Needed</v>
      </c>
      <c r="P31" s="5" t="s">
        <v>533</v>
      </c>
    </row>
    <row r="32" spans="1:16" x14ac:dyDescent="0.2">
      <c r="A32" s="5" t="s">
        <v>92</v>
      </c>
      <c r="B32" s="5" t="s">
        <v>64</v>
      </c>
      <c r="C32" s="5" t="s">
        <v>61</v>
      </c>
      <c r="D32" s="5" t="s">
        <v>45</v>
      </c>
      <c r="E32" s="5" t="s">
        <v>61</v>
      </c>
      <c r="F32" s="5">
        <v>1</v>
      </c>
      <c r="G32" s="5"/>
      <c r="H32" s="5">
        <v>25</v>
      </c>
      <c r="I32" s="5">
        <v>43</v>
      </c>
      <c r="J32" s="5">
        <v>3</v>
      </c>
      <c r="K32" s="5">
        <v>40</v>
      </c>
      <c r="L32" s="5">
        <v>5</v>
      </c>
      <c r="M32" s="5">
        <v>30</v>
      </c>
      <c r="N32" s="5">
        <v>0</v>
      </c>
      <c r="O32" s="5" t="str">
        <f t="shared" si="0"/>
        <v>OK</v>
      </c>
      <c r="P32" s="5" t="s">
        <v>533</v>
      </c>
    </row>
    <row r="33" spans="1:16" x14ac:dyDescent="0.2">
      <c r="A33" s="5" t="s">
        <v>95</v>
      </c>
      <c r="B33" s="5" t="s">
        <v>93</v>
      </c>
      <c r="C33" s="5" t="s">
        <v>96</v>
      </c>
      <c r="D33" s="5" t="s">
        <v>16</v>
      </c>
      <c r="E33" s="5" t="s">
        <v>537</v>
      </c>
      <c r="F33" s="5">
        <v>1</v>
      </c>
      <c r="G33" s="5"/>
      <c r="H33" s="5">
        <v>25</v>
      </c>
      <c r="I33" s="5">
        <v>28</v>
      </c>
      <c r="J33" s="5">
        <v>4</v>
      </c>
      <c r="K33" s="5">
        <v>24</v>
      </c>
      <c r="L33" s="5">
        <v>5</v>
      </c>
      <c r="M33" s="5">
        <v>30</v>
      </c>
      <c r="N33" s="5">
        <v>1</v>
      </c>
      <c r="O33" s="5" t="str">
        <f t="shared" si="0"/>
        <v>Shortage</v>
      </c>
      <c r="P33" s="5" t="s">
        <v>531</v>
      </c>
    </row>
    <row r="34" spans="1:16" x14ac:dyDescent="0.2">
      <c r="A34" s="5" t="s">
        <v>97</v>
      </c>
      <c r="B34" s="5" t="s">
        <v>93</v>
      </c>
      <c r="C34" s="5" t="s">
        <v>29</v>
      </c>
      <c r="D34" s="5" t="s">
        <v>16</v>
      </c>
      <c r="E34" s="5" t="s">
        <v>537</v>
      </c>
      <c r="F34" s="5">
        <v>1</v>
      </c>
      <c r="G34" s="5"/>
      <c r="H34" s="5">
        <v>25</v>
      </c>
      <c r="I34" s="5">
        <v>44</v>
      </c>
      <c r="J34" s="5">
        <v>5</v>
      </c>
      <c r="K34" s="5">
        <v>39</v>
      </c>
      <c r="L34" s="5">
        <v>5</v>
      </c>
      <c r="M34" s="5">
        <v>30</v>
      </c>
      <c r="N34" s="5">
        <v>0</v>
      </c>
      <c r="O34" s="5" t="str">
        <f t="shared" si="0"/>
        <v>OK</v>
      </c>
      <c r="P34" s="5" t="s">
        <v>531</v>
      </c>
    </row>
    <row r="35" spans="1:16" x14ac:dyDescent="0.2">
      <c r="A35" s="5" t="s">
        <v>98</v>
      </c>
      <c r="B35" s="5" t="s">
        <v>93</v>
      </c>
      <c r="C35" s="5" t="s">
        <v>96</v>
      </c>
      <c r="D35" s="5" t="s">
        <v>16</v>
      </c>
      <c r="E35" s="5" t="s">
        <v>537</v>
      </c>
      <c r="F35" s="5">
        <v>1</v>
      </c>
      <c r="G35" s="5"/>
      <c r="H35" s="5">
        <v>25</v>
      </c>
      <c r="I35" s="5">
        <v>45</v>
      </c>
      <c r="J35" s="5">
        <v>6</v>
      </c>
      <c r="K35" s="5">
        <v>39</v>
      </c>
      <c r="L35" s="5">
        <v>5</v>
      </c>
      <c r="M35" s="5">
        <v>30</v>
      </c>
      <c r="N35" s="5">
        <v>0</v>
      </c>
      <c r="O35" s="5" t="str">
        <f t="shared" si="0"/>
        <v>OK</v>
      </c>
      <c r="P35" s="5" t="s">
        <v>531</v>
      </c>
    </row>
    <row r="36" spans="1:16" x14ac:dyDescent="0.2">
      <c r="A36" s="5" t="s">
        <v>99</v>
      </c>
      <c r="B36" s="5" t="s">
        <v>93</v>
      </c>
      <c r="C36" s="5" t="s">
        <v>29</v>
      </c>
      <c r="D36" s="5" t="s">
        <v>16</v>
      </c>
      <c r="E36" s="5" t="s">
        <v>537</v>
      </c>
      <c r="F36" s="5">
        <v>1</v>
      </c>
      <c r="G36" s="5"/>
      <c r="H36" s="5">
        <v>25</v>
      </c>
      <c r="I36" s="5">
        <v>46</v>
      </c>
      <c r="J36" s="5">
        <v>7</v>
      </c>
      <c r="K36" s="5">
        <v>39</v>
      </c>
      <c r="L36" s="5">
        <v>5</v>
      </c>
      <c r="M36" s="5">
        <v>30</v>
      </c>
      <c r="N36" s="5">
        <v>0</v>
      </c>
      <c r="O36" s="5" t="str">
        <f t="shared" si="0"/>
        <v>OK</v>
      </c>
      <c r="P36" s="5" t="s">
        <v>531</v>
      </c>
    </row>
    <row r="37" spans="1:16" x14ac:dyDescent="0.2">
      <c r="A37" s="5" t="s">
        <v>100</v>
      </c>
      <c r="B37" s="5" t="s">
        <v>93</v>
      </c>
      <c r="C37" s="5" t="s">
        <v>29</v>
      </c>
      <c r="D37" s="5" t="s">
        <v>16</v>
      </c>
      <c r="E37" s="5" t="s">
        <v>537</v>
      </c>
      <c r="F37" s="5">
        <v>1</v>
      </c>
      <c r="G37" s="5"/>
      <c r="H37" s="5">
        <v>25</v>
      </c>
      <c r="I37" s="5">
        <v>48</v>
      </c>
      <c r="J37" s="5">
        <v>8</v>
      </c>
      <c r="K37" s="5">
        <v>40</v>
      </c>
      <c r="L37" s="5">
        <v>5</v>
      </c>
      <c r="M37" s="5">
        <v>30</v>
      </c>
      <c r="N37" s="5">
        <v>0</v>
      </c>
      <c r="O37" s="5" t="str">
        <f t="shared" si="0"/>
        <v>OK</v>
      </c>
      <c r="P37" s="5" t="s">
        <v>531</v>
      </c>
    </row>
    <row r="38" spans="1:16" x14ac:dyDescent="0.2">
      <c r="A38" s="5" t="s">
        <v>101</v>
      </c>
      <c r="B38" s="5" t="s">
        <v>93</v>
      </c>
      <c r="C38" s="5" t="s">
        <v>29</v>
      </c>
      <c r="D38" s="5" t="s">
        <v>45</v>
      </c>
      <c r="E38" s="5" t="s">
        <v>537</v>
      </c>
      <c r="F38" s="5">
        <v>1</v>
      </c>
      <c r="G38" s="5"/>
      <c r="H38" s="5">
        <v>25</v>
      </c>
      <c r="I38" s="5">
        <v>49</v>
      </c>
      <c r="J38" s="5">
        <v>9</v>
      </c>
      <c r="K38" s="5">
        <v>40</v>
      </c>
      <c r="L38" s="5">
        <v>5</v>
      </c>
      <c r="M38" s="5">
        <v>30</v>
      </c>
      <c r="N38" s="5">
        <v>0</v>
      </c>
      <c r="O38" s="5" t="str">
        <f t="shared" si="0"/>
        <v>OK</v>
      </c>
      <c r="P38" s="5" t="s">
        <v>531</v>
      </c>
    </row>
    <row r="39" spans="1:16" x14ac:dyDescent="0.2">
      <c r="A39" s="5" t="s">
        <v>102</v>
      </c>
      <c r="B39" s="5" t="s">
        <v>93</v>
      </c>
      <c r="C39" s="5" t="s">
        <v>29</v>
      </c>
      <c r="D39" s="5" t="s">
        <v>16</v>
      </c>
      <c r="E39" s="5" t="s">
        <v>537</v>
      </c>
      <c r="F39" s="5">
        <v>1</v>
      </c>
      <c r="G39" s="5"/>
      <c r="H39" s="5">
        <v>25</v>
      </c>
      <c r="I39" s="5">
        <v>50</v>
      </c>
      <c r="J39" s="5">
        <v>10</v>
      </c>
      <c r="K39" s="5">
        <v>40</v>
      </c>
      <c r="L39" s="5">
        <v>5</v>
      </c>
      <c r="M39" s="5">
        <v>30</v>
      </c>
      <c r="N39" s="5">
        <v>0</v>
      </c>
      <c r="O39" s="5" t="str">
        <f t="shared" si="0"/>
        <v>OK</v>
      </c>
      <c r="P39" s="5" t="s">
        <v>531</v>
      </c>
    </row>
    <row r="40" spans="1:16" x14ac:dyDescent="0.2">
      <c r="A40" s="5" t="s">
        <v>103</v>
      </c>
      <c r="B40" s="5" t="s">
        <v>93</v>
      </c>
      <c r="C40" s="5" t="s">
        <v>29</v>
      </c>
      <c r="D40" s="5" t="s">
        <v>16</v>
      </c>
      <c r="E40" s="5" t="s">
        <v>537</v>
      </c>
      <c r="F40" s="5">
        <v>1</v>
      </c>
      <c r="G40" s="5"/>
      <c r="H40" s="5">
        <v>25</v>
      </c>
      <c r="I40" s="5">
        <v>35</v>
      </c>
      <c r="J40" s="5">
        <v>3</v>
      </c>
      <c r="K40" s="5">
        <v>32</v>
      </c>
      <c r="L40" s="5">
        <v>5</v>
      </c>
      <c r="M40" s="5">
        <v>30</v>
      </c>
      <c r="N40" s="5">
        <v>0</v>
      </c>
      <c r="O40" s="5" t="str">
        <f t="shared" si="0"/>
        <v>OK</v>
      </c>
      <c r="P40" s="5" t="s">
        <v>532</v>
      </c>
    </row>
    <row r="41" spans="1:16" x14ac:dyDescent="0.2">
      <c r="A41" s="5" t="s">
        <v>104</v>
      </c>
      <c r="B41" s="5" t="s">
        <v>93</v>
      </c>
      <c r="C41" s="5" t="s">
        <v>29</v>
      </c>
      <c r="D41" s="5" t="s">
        <v>45</v>
      </c>
      <c r="E41" s="5" t="s">
        <v>537</v>
      </c>
      <c r="F41" s="5">
        <v>1</v>
      </c>
      <c r="G41" s="5"/>
      <c r="H41" s="5">
        <v>25</v>
      </c>
      <c r="I41" s="5">
        <v>44</v>
      </c>
      <c r="J41" s="5">
        <v>4</v>
      </c>
      <c r="K41" s="5">
        <v>40</v>
      </c>
      <c r="L41" s="5">
        <v>5</v>
      </c>
      <c r="M41" s="5">
        <v>30</v>
      </c>
      <c r="N41" s="5">
        <v>0</v>
      </c>
      <c r="O41" s="5" t="str">
        <f t="shared" si="0"/>
        <v>OK</v>
      </c>
      <c r="P41" s="5" t="s">
        <v>532</v>
      </c>
    </row>
    <row r="42" spans="1:16" x14ac:dyDescent="0.2">
      <c r="A42" s="5" t="s">
        <v>107</v>
      </c>
      <c r="B42" s="5" t="s">
        <v>105</v>
      </c>
      <c r="C42" s="5" t="s">
        <v>29</v>
      </c>
      <c r="D42" s="5" t="s">
        <v>16</v>
      </c>
      <c r="E42" s="5" t="s">
        <v>537</v>
      </c>
      <c r="F42" s="5">
        <v>1</v>
      </c>
      <c r="G42" s="5"/>
      <c r="H42" s="5">
        <v>25</v>
      </c>
      <c r="I42" s="5">
        <v>51</v>
      </c>
      <c r="J42" s="5">
        <v>5</v>
      </c>
      <c r="K42" s="5">
        <v>46</v>
      </c>
      <c r="L42" s="5">
        <v>5</v>
      </c>
      <c r="M42" s="5">
        <v>30</v>
      </c>
      <c r="N42" s="5">
        <v>0</v>
      </c>
      <c r="O42" s="5" t="str">
        <f t="shared" si="0"/>
        <v>OK</v>
      </c>
      <c r="P42" s="5" t="s">
        <v>531</v>
      </c>
    </row>
    <row r="43" spans="1:16" x14ac:dyDescent="0.2">
      <c r="A43" s="5" t="s">
        <v>108</v>
      </c>
      <c r="B43" s="5" t="s">
        <v>105</v>
      </c>
      <c r="C43" s="5" t="s">
        <v>29</v>
      </c>
      <c r="D43" s="5" t="s">
        <v>16</v>
      </c>
      <c r="E43" s="5" t="s">
        <v>537</v>
      </c>
      <c r="F43" s="5">
        <v>1</v>
      </c>
      <c r="G43" s="5"/>
      <c r="H43" s="5">
        <v>25</v>
      </c>
      <c r="I43" s="5">
        <v>43</v>
      </c>
      <c r="J43" s="5">
        <v>6</v>
      </c>
      <c r="K43" s="5">
        <v>37</v>
      </c>
      <c r="L43" s="5">
        <v>5</v>
      </c>
      <c r="M43" s="5">
        <v>30</v>
      </c>
      <c r="N43" s="5">
        <v>0</v>
      </c>
      <c r="O43" s="5" t="str">
        <f t="shared" si="0"/>
        <v>OK</v>
      </c>
      <c r="P43" s="5" t="s">
        <v>531</v>
      </c>
    </row>
    <row r="44" spans="1:16" x14ac:dyDescent="0.2">
      <c r="A44" s="5" t="s">
        <v>109</v>
      </c>
      <c r="B44" s="5" t="s">
        <v>105</v>
      </c>
      <c r="C44" s="5" t="s">
        <v>29</v>
      </c>
      <c r="D44" s="5" t="s">
        <v>16</v>
      </c>
      <c r="E44" s="5" t="s">
        <v>537</v>
      </c>
      <c r="F44" s="5">
        <v>1</v>
      </c>
      <c r="G44" s="5"/>
      <c r="H44" s="5">
        <v>25</v>
      </c>
      <c r="I44" s="5">
        <v>44</v>
      </c>
      <c r="J44" s="5">
        <v>7</v>
      </c>
      <c r="K44" s="5">
        <v>37</v>
      </c>
      <c r="L44" s="5">
        <v>5</v>
      </c>
      <c r="M44" s="5">
        <v>30</v>
      </c>
      <c r="N44" s="5">
        <v>0</v>
      </c>
      <c r="O44" s="5" t="str">
        <f t="shared" si="0"/>
        <v>OK</v>
      </c>
      <c r="P44" s="5" t="s">
        <v>531</v>
      </c>
    </row>
    <row r="45" spans="1:16" x14ac:dyDescent="0.2">
      <c r="A45" s="5" t="s">
        <v>110</v>
      </c>
      <c r="B45" s="5" t="s">
        <v>105</v>
      </c>
      <c r="C45" s="5" t="s">
        <v>29</v>
      </c>
      <c r="D45" s="5" t="s">
        <v>16</v>
      </c>
      <c r="E45" s="5" t="s">
        <v>537</v>
      </c>
      <c r="F45" s="5">
        <v>4</v>
      </c>
      <c r="G45" s="5"/>
      <c r="H45" s="5">
        <v>100</v>
      </c>
      <c r="I45" s="5">
        <v>143</v>
      </c>
      <c r="J45" s="5">
        <v>8</v>
      </c>
      <c r="K45" s="5">
        <v>135</v>
      </c>
      <c r="L45" s="5">
        <v>20</v>
      </c>
      <c r="M45" s="5">
        <v>120</v>
      </c>
      <c r="N45" s="5">
        <v>0</v>
      </c>
      <c r="O45" s="5" t="str">
        <f t="shared" si="0"/>
        <v>OK</v>
      </c>
      <c r="P45" s="5" t="s">
        <v>531</v>
      </c>
    </row>
    <row r="46" spans="1:16" x14ac:dyDescent="0.2">
      <c r="A46" s="5" t="s">
        <v>111</v>
      </c>
      <c r="B46" s="5" t="s">
        <v>105</v>
      </c>
      <c r="C46" s="5" t="s">
        <v>29</v>
      </c>
      <c r="D46" s="5" t="s">
        <v>16</v>
      </c>
      <c r="E46" s="5" t="s">
        <v>537</v>
      </c>
      <c r="F46" s="5">
        <v>1</v>
      </c>
      <c r="G46" s="5"/>
      <c r="H46" s="5">
        <v>25</v>
      </c>
      <c r="I46" s="5">
        <v>45</v>
      </c>
      <c r="J46" s="5">
        <v>9</v>
      </c>
      <c r="K46" s="5">
        <v>36</v>
      </c>
      <c r="L46" s="5">
        <v>5</v>
      </c>
      <c r="M46" s="5">
        <v>30</v>
      </c>
      <c r="N46" s="5">
        <v>0</v>
      </c>
      <c r="O46" s="5" t="str">
        <f t="shared" si="0"/>
        <v>OK</v>
      </c>
      <c r="P46" s="5" t="s">
        <v>531</v>
      </c>
    </row>
    <row r="47" spans="1:16" x14ac:dyDescent="0.2">
      <c r="A47" s="5" t="s">
        <v>112</v>
      </c>
      <c r="B47" s="5" t="s">
        <v>105</v>
      </c>
      <c r="C47" s="5" t="s">
        <v>0</v>
      </c>
      <c r="D47" s="5" t="s">
        <v>16</v>
      </c>
      <c r="E47" s="5" t="s">
        <v>537</v>
      </c>
      <c r="F47" s="5">
        <v>1</v>
      </c>
      <c r="G47" s="5"/>
      <c r="H47" s="5">
        <v>25</v>
      </c>
      <c r="I47" s="5">
        <v>50</v>
      </c>
      <c r="J47" s="5">
        <v>10</v>
      </c>
      <c r="K47" s="5">
        <v>40</v>
      </c>
      <c r="L47" s="5">
        <v>5</v>
      </c>
      <c r="M47" s="5">
        <v>30</v>
      </c>
      <c r="N47" s="5">
        <v>0</v>
      </c>
      <c r="O47" s="5" t="str">
        <f t="shared" si="0"/>
        <v>OK</v>
      </c>
      <c r="P47" s="5" t="s">
        <v>531</v>
      </c>
    </row>
    <row r="48" spans="1:16" x14ac:dyDescent="0.2">
      <c r="A48" s="5" t="s">
        <v>113</v>
      </c>
      <c r="B48" s="5" t="s">
        <v>105</v>
      </c>
      <c r="C48" s="5" t="s">
        <v>0</v>
      </c>
      <c r="D48" s="5" t="s">
        <v>16</v>
      </c>
      <c r="E48" s="5" t="s">
        <v>537</v>
      </c>
      <c r="F48" s="5">
        <v>1</v>
      </c>
      <c r="G48" s="5"/>
      <c r="H48" s="5">
        <v>25</v>
      </c>
      <c r="I48" s="5">
        <v>43</v>
      </c>
      <c r="J48" s="5">
        <v>3</v>
      </c>
      <c r="K48" s="5">
        <v>40</v>
      </c>
      <c r="L48" s="5">
        <v>5</v>
      </c>
      <c r="M48" s="5">
        <v>30</v>
      </c>
      <c r="N48" s="5">
        <v>0</v>
      </c>
      <c r="O48" s="5" t="str">
        <f t="shared" si="0"/>
        <v>OK</v>
      </c>
      <c r="P48" s="5" t="s">
        <v>531</v>
      </c>
    </row>
    <row r="49" spans="1:16" x14ac:dyDescent="0.2">
      <c r="A49" s="5" t="s">
        <v>114</v>
      </c>
      <c r="B49" s="5" t="s">
        <v>105</v>
      </c>
      <c r="C49" s="5" t="s">
        <v>0</v>
      </c>
      <c r="D49" s="5" t="s">
        <v>16</v>
      </c>
      <c r="E49" s="5" t="s">
        <v>537</v>
      </c>
      <c r="F49" s="5">
        <v>1</v>
      </c>
      <c r="G49" s="5"/>
      <c r="H49" s="5">
        <v>25</v>
      </c>
      <c r="I49" s="5">
        <v>46</v>
      </c>
      <c r="J49" s="5">
        <v>4</v>
      </c>
      <c r="K49" s="5">
        <v>42</v>
      </c>
      <c r="L49" s="5">
        <v>5</v>
      </c>
      <c r="M49" s="5">
        <v>30</v>
      </c>
      <c r="N49" s="5">
        <v>0</v>
      </c>
      <c r="O49" s="5" t="str">
        <f t="shared" si="0"/>
        <v>OK</v>
      </c>
      <c r="P49" s="5" t="s">
        <v>531</v>
      </c>
    </row>
    <row r="50" spans="1:16" x14ac:dyDescent="0.2">
      <c r="A50" s="5" t="s">
        <v>115</v>
      </c>
      <c r="B50" s="5" t="s">
        <v>105</v>
      </c>
      <c r="C50" s="5" t="s">
        <v>29</v>
      </c>
      <c r="D50" s="5" t="s">
        <v>45</v>
      </c>
      <c r="E50" s="5" t="s">
        <v>537</v>
      </c>
      <c r="F50" s="5">
        <v>1</v>
      </c>
      <c r="G50" s="5"/>
      <c r="H50" s="5">
        <v>25</v>
      </c>
      <c r="I50" s="5">
        <v>47</v>
      </c>
      <c r="J50" s="5">
        <v>5</v>
      </c>
      <c r="K50" s="5">
        <v>42</v>
      </c>
      <c r="L50" s="5">
        <v>5</v>
      </c>
      <c r="M50" s="5">
        <v>30</v>
      </c>
      <c r="N50" s="5">
        <v>0</v>
      </c>
      <c r="O50" s="5" t="str">
        <f t="shared" si="0"/>
        <v>OK</v>
      </c>
      <c r="P50" s="5" t="s">
        <v>532</v>
      </c>
    </row>
    <row r="51" spans="1:16" x14ac:dyDescent="0.2">
      <c r="A51" s="5" t="s">
        <v>116</v>
      </c>
      <c r="B51" s="5" t="s">
        <v>105</v>
      </c>
      <c r="C51" s="5" t="s">
        <v>61</v>
      </c>
      <c r="D51" s="5" t="s">
        <v>45</v>
      </c>
      <c r="E51" s="5" t="s">
        <v>61</v>
      </c>
      <c r="F51" s="5">
        <v>1</v>
      </c>
      <c r="G51" s="5"/>
      <c r="H51" s="5">
        <v>25</v>
      </c>
      <c r="I51" s="5">
        <v>48</v>
      </c>
      <c r="J51" s="5">
        <v>6</v>
      </c>
      <c r="K51" s="5">
        <v>42</v>
      </c>
      <c r="L51" s="5">
        <v>5</v>
      </c>
      <c r="M51" s="5">
        <v>30</v>
      </c>
      <c r="N51" s="5">
        <v>0</v>
      </c>
      <c r="O51" s="5" t="str">
        <f t="shared" si="0"/>
        <v>OK</v>
      </c>
      <c r="P51" s="5" t="s">
        <v>533</v>
      </c>
    </row>
    <row r="52" spans="1:16" x14ac:dyDescent="0.2">
      <c r="A52" s="5" t="s">
        <v>120</v>
      </c>
      <c r="B52" s="5" t="s">
        <v>117</v>
      </c>
      <c r="C52" s="5" t="s">
        <v>17</v>
      </c>
      <c r="D52" s="5" t="s">
        <v>16</v>
      </c>
      <c r="E52" s="5" t="s">
        <v>537</v>
      </c>
      <c r="F52" s="5">
        <v>1</v>
      </c>
      <c r="G52" s="5"/>
      <c r="H52" s="5">
        <v>25</v>
      </c>
      <c r="I52" s="5">
        <v>49</v>
      </c>
      <c r="J52" s="5">
        <v>7</v>
      </c>
      <c r="K52" s="5">
        <v>42</v>
      </c>
      <c r="L52" s="5">
        <v>5</v>
      </c>
      <c r="M52" s="5">
        <v>30</v>
      </c>
      <c r="N52" s="5">
        <v>0</v>
      </c>
      <c r="O52" s="5" t="str">
        <f t="shared" si="0"/>
        <v>OK</v>
      </c>
      <c r="P52" s="5" t="s">
        <v>531</v>
      </c>
    </row>
    <row r="53" spans="1:16" x14ac:dyDescent="0.2">
      <c r="A53" s="5" t="s">
        <v>121</v>
      </c>
      <c r="B53" s="5" t="s">
        <v>117</v>
      </c>
      <c r="C53" s="5" t="s">
        <v>17</v>
      </c>
      <c r="D53" s="5" t="s">
        <v>16</v>
      </c>
      <c r="E53" s="5" t="s">
        <v>537</v>
      </c>
      <c r="F53" s="5">
        <v>1</v>
      </c>
      <c r="G53" s="5"/>
      <c r="H53" s="5">
        <v>25</v>
      </c>
      <c r="I53" s="5">
        <v>50</v>
      </c>
      <c r="J53" s="5">
        <v>8</v>
      </c>
      <c r="K53" s="5">
        <v>42</v>
      </c>
      <c r="L53" s="5">
        <v>5</v>
      </c>
      <c r="M53" s="5">
        <v>30</v>
      </c>
      <c r="N53" s="5">
        <v>0</v>
      </c>
      <c r="O53" s="5" t="str">
        <f t="shared" si="0"/>
        <v>OK</v>
      </c>
      <c r="P53" s="5" t="s">
        <v>531</v>
      </c>
    </row>
    <row r="54" spans="1:16" x14ac:dyDescent="0.2">
      <c r="A54" s="5" t="s">
        <v>122</v>
      </c>
      <c r="B54" s="5" t="s">
        <v>117</v>
      </c>
      <c r="C54" s="5" t="s">
        <v>17</v>
      </c>
      <c r="D54" s="5" t="s">
        <v>16</v>
      </c>
      <c r="E54" s="5" t="s">
        <v>537</v>
      </c>
      <c r="F54" s="5">
        <v>4</v>
      </c>
      <c r="G54" s="5"/>
      <c r="H54" s="5">
        <v>100</v>
      </c>
      <c r="I54" s="5">
        <v>150</v>
      </c>
      <c r="J54" s="5">
        <v>30</v>
      </c>
      <c r="K54" s="5">
        <v>120</v>
      </c>
      <c r="L54" s="5">
        <v>20</v>
      </c>
      <c r="M54" s="5">
        <v>120</v>
      </c>
      <c r="N54" s="5">
        <v>0</v>
      </c>
      <c r="O54" s="5" t="str">
        <f t="shared" si="0"/>
        <v>Reorder Needed</v>
      </c>
      <c r="P54" s="5" t="s">
        <v>532</v>
      </c>
    </row>
    <row r="55" spans="1:16" x14ac:dyDescent="0.2">
      <c r="A55" s="5" t="s">
        <v>123</v>
      </c>
      <c r="B55" s="5" t="s">
        <v>117</v>
      </c>
      <c r="C55" s="5" t="s">
        <v>38</v>
      </c>
      <c r="D55" s="5" t="s">
        <v>16</v>
      </c>
      <c r="E55" s="5" t="s">
        <v>537</v>
      </c>
      <c r="F55" s="5">
        <v>1</v>
      </c>
      <c r="G55" s="5"/>
      <c r="H55" s="5">
        <v>25</v>
      </c>
      <c r="I55" s="5">
        <v>29</v>
      </c>
      <c r="J55" s="5">
        <v>10</v>
      </c>
      <c r="K55" s="5">
        <v>19</v>
      </c>
      <c r="L55" s="5">
        <v>5</v>
      </c>
      <c r="M55" s="5">
        <v>30</v>
      </c>
      <c r="N55" s="5">
        <v>6</v>
      </c>
      <c r="O55" s="5" t="str">
        <f t="shared" si="0"/>
        <v>Shortage</v>
      </c>
      <c r="P55" s="5" t="s">
        <v>532</v>
      </c>
    </row>
    <row r="56" spans="1:16" x14ac:dyDescent="0.2">
      <c r="A56" s="5" t="s">
        <v>124</v>
      </c>
      <c r="B56" s="5" t="s">
        <v>117</v>
      </c>
      <c r="C56" s="5" t="s">
        <v>38</v>
      </c>
      <c r="D56" s="5" t="s">
        <v>16</v>
      </c>
      <c r="E56" s="5" t="s">
        <v>537</v>
      </c>
      <c r="F56" s="5">
        <v>1</v>
      </c>
      <c r="G56" s="5"/>
      <c r="H56" s="5">
        <v>25</v>
      </c>
      <c r="I56" s="5">
        <v>47</v>
      </c>
      <c r="J56" s="5">
        <v>3</v>
      </c>
      <c r="K56" s="5">
        <v>44</v>
      </c>
      <c r="L56" s="5">
        <v>5</v>
      </c>
      <c r="M56" s="5">
        <v>30</v>
      </c>
      <c r="N56" s="5">
        <v>0</v>
      </c>
      <c r="O56" s="5" t="str">
        <f t="shared" si="0"/>
        <v>OK</v>
      </c>
      <c r="P56" s="5" t="s">
        <v>532</v>
      </c>
    </row>
    <row r="57" spans="1:16" x14ac:dyDescent="0.2">
      <c r="A57" s="5" t="s">
        <v>125</v>
      </c>
      <c r="B57" s="5" t="s">
        <v>117</v>
      </c>
      <c r="C57" s="5" t="s">
        <v>118</v>
      </c>
      <c r="D57" s="5" t="s">
        <v>16</v>
      </c>
      <c r="E57" s="5" t="s">
        <v>537</v>
      </c>
      <c r="F57" s="5">
        <v>1</v>
      </c>
      <c r="G57" s="5"/>
      <c r="H57" s="5">
        <v>25</v>
      </c>
      <c r="I57" s="5">
        <v>48</v>
      </c>
      <c r="J57" s="5">
        <v>4</v>
      </c>
      <c r="K57" s="5">
        <v>44</v>
      </c>
      <c r="L57" s="5">
        <v>5</v>
      </c>
      <c r="M57" s="5">
        <v>30</v>
      </c>
      <c r="N57" s="5">
        <v>0</v>
      </c>
      <c r="O57" s="5" t="str">
        <f t="shared" si="0"/>
        <v>OK</v>
      </c>
      <c r="P57" s="5" t="s">
        <v>531</v>
      </c>
    </row>
    <row r="58" spans="1:16" x14ac:dyDescent="0.2">
      <c r="A58" s="5" t="s">
        <v>126</v>
      </c>
      <c r="B58" s="5" t="s">
        <v>117</v>
      </c>
      <c r="C58" s="5" t="s">
        <v>118</v>
      </c>
      <c r="D58" s="5" t="s">
        <v>16</v>
      </c>
      <c r="E58" s="5" t="s">
        <v>537</v>
      </c>
      <c r="F58" s="5">
        <v>1</v>
      </c>
      <c r="G58" s="5"/>
      <c r="H58" s="5">
        <v>25</v>
      </c>
      <c r="I58" s="5">
        <v>49</v>
      </c>
      <c r="J58" s="5">
        <v>5</v>
      </c>
      <c r="K58" s="5">
        <v>44</v>
      </c>
      <c r="L58" s="5">
        <v>5</v>
      </c>
      <c r="M58" s="5">
        <v>30</v>
      </c>
      <c r="N58" s="5">
        <v>0</v>
      </c>
      <c r="O58" s="5" t="str">
        <f t="shared" si="0"/>
        <v>OK</v>
      </c>
      <c r="P58" s="5" t="s">
        <v>531</v>
      </c>
    </row>
    <row r="59" spans="1:16" x14ac:dyDescent="0.2">
      <c r="A59" s="5" t="s">
        <v>127</v>
      </c>
      <c r="B59" s="5" t="s">
        <v>117</v>
      </c>
      <c r="C59" s="5" t="s">
        <v>118</v>
      </c>
      <c r="D59" s="5" t="s">
        <v>16</v>
      </c>
      <c r="E59" s="5" t="s">
        <v>537</v>
      </c>
      <c r="F59" s="5">
        <v>1</v>
      </c>
      <c r="G59" s="5"/>
      <c r="H59" s="5">
        <v>25</v>
      </c>
      <c r="I59" s="5">
        <v>50</v>
      </c>
      <c r="J59" s="5">
        <v>6</v>
      </c>
      <c r="K59" s="5">
        <v>44</v>
      </c>
      <c r="L59" s="5">
        <v>5</v>
      </c>
      <c r="M59" s="5">
        <v>30</v>
      </c>
      <c r="N59" s="5">
        <v>0</v>
      </c>
      <c r="O59" s="5" t="str">
        <f t="shared" si="0"/>
        <v>OK</v>
      </c>
      <c r="P59" s="5" t="s">
        <v>531</v>
      </c>
    </row>
    <row r="60" spans="1:16" x14ac:dyDescent="0.2">
      <c r="A60" s="5" t="s">
        <v>128</v>
      </c>
      <c r="B60" s="5" t="s">
        <v>117</v>
      </c>
      <c r="C60" s="5" t="s">
        <v>118</v>
      </c>
      <c r="D60" s="5" t="s">
        <v>16</v>
      </c>
      <c r="E60" s="5" t="s">
        <v>537</v>
      </c>
      <c r="F60" s="5">
        <v>1</v>
      </c>
      <c r="G60" s="5"/>
      <c r="H60" s="5">
        <v>25</v>
      </c>
      <c r="I60" s="5">
        <v>43</v>
      </c>
      <c r="J60" s="5">
        <v>7</v>
      </c>
      <c r="K60" s="5">
        <v>36</v>
      </c>
      <c r="L60" s="5">
        <v>5</v>
      </c>
      <c r="M60" s="5">
        <v>30</v>
      </c>
      <c r="N60" s="5">
        <v>0</v>
      </c>
      <c r="O60" s="5" t="str">
        <f t="shared" si="0"/>
        <v>OK</v>
      </c>
      <c r="P60" s="5" t="s">
        <v>531</v>
      </c>
    </row>
    <row r="61" spans="1:16" x14ac:dyDescent="0.2">
      <c r="A61" s="5" t="s">
        <v>129</v>
      </c>
      <c r="B61" s="5" t="s">
        <v>117</v>
      </c>
      <c r="C61" s="5" t="s">
        <v>118</v>
      </c>
      <c r="D61" s="5" t="s">
        <v>16</v>
      </c>
      <c r="E61" s="5" t="s">
        <v>537</v>
      </c>
      <c r="F61" s="5">
        <v>1</v>
      </c>
      <c r="G61" s="5"/>
      <c r="H61" s="5">
        <v>25</v>
      </c>
      <c r="I61" s="5">
        <v>46</v>
      </c>
      <c r="J61" s="5">
        <v>8</v>
      </c>
      <c r="K61" s="5">
        <v>38</v>
      </c>
      <c r="L61" s="5">
        <v>5</v>
      </c>
      <c r="M61" s="5">
        <v>30</v>
      </c>
      <c r="N61" s="5">
        <v>0</v>
      </c>
      <c r="O61" s="5" t="str">
        <f t="shared" si="0"/>
        <v>OK</v>
      </c>
      <c r="P61" s="5" t="s">
        <v>531</v>
      </c>
    </row>
    <row r="62" spans="1:16" x14ac:dyDescent="0.2">
      <c r="A62" s="5" t="s">
        <v>130</v>
      </c>
      <c r="B62" s="5" t="s">
        <v>117</v>
      </c>
      <c r="C62" s="5" t="s">
        <v>118</v>
      </c>
      <c r="D62" s="5" t="s">
        <v>16</v>
      </c>
      <c r="E62" s="5" t="s">
        <v>537</v>
      </c>
      <c r="F62" s="5">
        <v>1</v>
      </c>
      <c r="G62" s="5"/>
      <c r="H62" s="5">
        <v>25</v>
      </c>
      <c r="I62" s="5">
        <v>47</v>
      </c>
      <c r="J62" s="5">
        <v>9</v>
      </c>
      <c r="K62" s="5">
        <v>38</v>
      </c>
      <c r="L62" s="5">
        <v>5</v>
      </c>
      <c r="M62" s="5">
        <v>30</v>
      </c>
      <c r="N62" s="5">
        <v>0</v>
      </c>
      <c r="O62" s="5" t="str">
        <f t="shared" si="0"/>
        <v>OK</v>
      </c>
      <c r="P62" s="5" t="s">
        <v>531</v>
      </c>
    </row>
    <row r="63" spans="1:16" x14ac:dyDescent="0.2">
      <c r="A63" s="5" t="s">
        <v>131</v>
      </c>
      <c r="B63" s="5" t="s">
        <v>117</v>
      </c>
      <c r="C63" s="5" t="s">
        <v>118</v>
      </c>
      <c r="D63" s="5" t="s">
        <v>16</v>
      </c>
      <c r="E63" s="5" t="s">
        <v>537</v>
      </c>
      <c r="F63" s="5">
        <v>1</v>
      </c>
      <c r="G63" s="5"/>
      <c r="H63" s="5">
        <v>25</v>
      </c>
      <c r="I63" s="5">
        <v>48</v>
      </c>
      <c r="J63" s="5">
        <v>10</v>
      </c>
      <c r="K63" s="5">
        <v>38</v>
      </c>
      <c r="L63" s="5">
        <v>5</v>
      </c>
      <c r="M63" s="5">
        <v>30</v>
      </c>
      <c r="N63" s="5">
        <v>0</v>
      </c>
      <c r="O63" s="5" t="str">
        <f t="shared" si="0"/>
        <v>OK</v>
      </c>
      <c r="P63" s="5" t="s">
        <v>531</v>
      </c>
    </row>
    <row r="64" spans="1:16" x14ac:dyDescent="0.2">
      <c r="A64" s="5" t="s">
        <v>132</v>
      </c>
      <c r="B64" s="5" t="s">
        <v>117</v>
      </c>
      <c r="C64" s="5" t="s">
        <v>118</v>
      </c>
      <c r="D64" s="5" t="s">
        <v>16</v>
      </c>
      <c r="E64" s="5" t="s">
        <v>537</v>
      </c>
      <c r="F64" s="5">
        <v>4</v>
      </c>
      <c r="G64" s="5"/>
      <c r="H64" s="5">
        <v>100</v>
      </c>
      <c r="I64" s="5">
        <v>160</v>
      </c>
      <c r="J64" s="5">
        <v>10</v>
      </c>
      <c r="K64" s="5">
        <v>150</v>
      </c>
      <c r="L64" s="5">
        <v>20</v>
      </c>
      <c r="M64" s="5">
        <v>120</v>
      </c>
      <c r="N64" s="5">
        <v>0</v>
      </c>
      <c r="O64" s="5" t="str">
        <f t="shared" si="0"/>
        <v>OK</v>
      </c>
      <c r="P64" s="5" t="s">
        <v>531</v>
      </c>
    </row>
    <row r="65" spans="1:16" x14ac:dyDescent="0.2">
      <c r="A65" s="5" t="s">
        <v>133</v>
      </c>
      <c r="B65" s="5" t="s">
        <v>117</v>
      </c>
      <c r="C65" s="5" t="s">
        <v>41</v>
      </c>
      <c r="D65" s="5" t="s">
        <v>40</v>
      </c>
      <c r="E65" s="5" t="s">
        <v>41</v>
      </c>
      <c r="F65" s="5">
        <v>3</v>
      </c>
      <c r="G65" s="5"/>
      <c r="H65" s="5">
        <v>75</v>
      </c>
      <c r="I65" s="5">
        <v>100</v>
      </c>
      <c r="J65" s="5">
        <v>15</v>
      </c>
      <c r="K65" s="5">
        <v>85</v>
      </c>
      <c r="L65" s="5">
        <v>15</v>
      </c>
      <c r="M65" s="5">
        <v>90</v>
      </c>
      <c r="N65" s="5">
        <v>0</v>
      </c>
      <c r="O65" s="5" t="str">
        <f t="shared" si="0"/>
        <v>Reorder Needed</v>
      </c>
      <c r="P65" s="5" t="s">
        <v>532</v>
      </c>
    </row>
    <row r="66" spans="1:16" x14ac:dyDescent="0.2">
      <c r="A66" s="5" t="s">
        <v>134</v>
      </c>
      <c r="B66" s="5" t="s">
        <v>117</v>
      </c>
      <c r="C66" s="5" t="s">
        <v>61</v>
      </c>
      <c r="D66" s="5" t="s">
        <v>45</v>
      </c>
      <c r="E66" s="5" t="s">
        <v>61</v>
      </c>
      <c r="F66" s="5">
        <v>1</v>
      </c>
      <c r="G66" s="5"/>
      <c r="H66" s="5">
        <v>25</v>
      </c>
      <c r="I66" s="5">
        <v>43</v>
      </c>
      <c r="J66" s="5">
        <v>3</v>
      </c>
      <c r="K66" s="5">
        <v>40</v>
      </c>
      <c r="L66" s="5">
        <v>5</v>
      </c>
      <c r="M66" s="5">
        <v>30</v>
      </c>
      <c r="N66" s="5">
        <v>0</v>
      </c>
      <c r="O66" s="5" t="str">
        <f t="shared" si="0"/>
        <v>OK</v>
      </c>
      <c r="P66" s="5" t="s">
        <v>533</v>
      </c>
    </row>
    <row r="67" spans="1:16" x14ac:dyDescent="0.2">
      <c r="A67" s="5" t="s">
        <v>137</v>
      </c>
      <c r="B67" s="5" t="s">
        <v>135</v>
      </c>
      <c r="C67" s="5" t="s">
        <v>35</v>
      </c>
      <c r="D67" s="5" t="s">
        <v>16</v>
      </c>
      <c r="E67" s="5" t="s">
        <v>537</v>
      </c>
      <c r="F67" s="5">
        <v>1</v>
      </c>
      <c r="G67" s="5"/>
      <c r="H67" s="5">
        <v>25</v>
      </c>
      <c r="I67" s="5">
        <v>47</v>
      </c>
      <c r="J67" s="5">
        <v>4</v>
      </c>
      <c r="K67" s="5">
        <v>43</v>
      </c>
      <c r="L67" s="5">
        <v>5</v>
      </c>
      <c r="M67" s="5">
        <v>30</v>
      </c>
      <c r="N67" s="5">
        <v>0</v>
      </c>
      <c r="O67" s="5" t="str">
        <f t="shared" si="0"/>
        <v>OK</v>
      </c>
      <c r="P67" s="5" t="s">
        <v>531</v>
      </c>
    </row>
    <row r="68" spans="1:16" x14ac:dyDescent="0.2">
      <c r="A68" s="5" t="s">
        <v>138</v>
      </c>
      <c r="B68" s="5" t="s">
        <v>135</v>
      </c>
      <c r="C68" s="5" t="s">
        <v>35</v>
      </c>
      <c r="D68" s="5" t="s">
        <v>16</v>
      </c>
      <c r="E68" s="5" t="s">
        <v>537</v>
      </c>
      <c r="F68" s="5">
        <v>1</v>
      </c>
      <c r="G68" s="5"/>
      <c r="H68" s="5">
        <v>25</v>
      </c>
      <c r="I68" s="5">
        <v>48</v>
      </c>
      <c r="J68" s="5">
        <v>5</v>
      </c>
      <c r="K68" s="5">
        <v>43</v>
      </c>
      <c r="L68" s="5">
        <v>5</v>
      </c>
      <c r="M68" s="5">
        <v>30</v>
      </c>
      <c r="N68" s="5">
        <v>0</v>
      </c>
      <c r="O68" s="5" t="str">
        <f t="shared" si="0"/>
        <v>OK</v>
      </c>
      <c r="P68" s="5" t="s">
        <v>532</v>
      </c>
    </row>
    <row r="69" spans="1:16" x14ac:dyDescent="0.2">
      <c r="A69" s="5" t="s">
        <v>139</v>
      </c>
      <c r="B69" s="5" t="s">
        <v>135</v>
      </c>
      <c r="C69" s="5" t="s">
        <v>35</v>
      </c>
      <c r="D69" s="5" t="s">
        <v>16</v>
      </c>
      <c r="E69" s="5" t="s">
        <v>537</v>
      </c>
      <c r="F69" s="5">
        <v>1</v>
      </c>
      <c r="G69" s="5"/>
      <c r="H69" s="5">
        <v>25</v>
      </c>
      <c r="I69" s="5">
        <v>49</v>
      </c>
      <c r="J69" s="5">
        <v>6</v>
      </c>
      <c r="K69" s="5">
        <v>43</v>
      </c>
      <c r="L69" s="5">
        <v>5</v>
      </c>
      <c r="M69" s="5">
        <v>30</v>
      </c>
      <c r="N69" s="5">
        <v>0</v>
      </c>
      <c r="O69" s="5" t="str">
        <f t="shared" ref="O69:O70" si="1">IF(K69&lt;H69,"Shortage",IF((K69-H69)&lt;=L69,"Reorder Needed","OK"))</f>
        <v>OK</v>
      </c>
      <c r="P69" s="5" t="s">
        <v>532</v>
      </c>
    </row>
    <row r="70" spans="1:16" x14ac:dyDescent="0.2">
      <c r="A70" s="5" t="s">
        <v>140</v>
      </c>
      <c r="B70" s="5" t="s">
        <v>135</v>
      </c>
      <c r="C70" s="5" t="s">
        <v>35</v>
      </c>
      <c r="D70" s="5" t="s">
        <v>16</v>
      </c>
      <c r="E70" s="5" t="s">
        <v>537</v>
      </c>
      <c r="F70" s="5">
        <v>1</v>
      </c>
      <c r="G70" s="5"/>
      <c r="H70" s="5">
        <v>25</v>
      </c>
      <c r="I70" s="5">
        <v>43</v>
      </c>
      <c r="J70" s="5">
        <v>7</v>
      </c>
      <c r="K70" s="5">
        <v>36</v>
      </c>
      <c r="L70" s="5">
        <v>5</v>
      </c>
      <c r="M70" s="5">
        <v>30</v>
      </c>
      <c r="N70" s="5">
        <v>0</v>
      </c>
      <c r="O70" s="5" t="str">
        <f t="shared" si="1"/>
        <v>OK</v>
      </c>
      <c r="P70" s="5" t="s">
        <v>531</v>
      </c>
    </row>
    <row r="71" spans="1:16" x14ac:dyDescent="0.2">
      <c r="A71" s="5" t="s">
        <v>141</v>
      </c>
      <c r="B71" s="5" t="s">
        <v>135</v>
      </c>
      <c r="C71" s="5" t="s">
        <v>35</v>
      </c>
      <c r="D71" s="5" t="s">
        <v>16</v>
      </c>
      <c r="E71" s="5" t="s">
        <v>537</v>
      </c>
      <c r="F71" s="5">
        <v>1</v>
      </c>
      <c r="G71" s="5"/>
      <c r="H71" s="5">
        <v>25</v>
      </c>
      <c r="I71" s="5">
        <v>46</v>
      </c>
      <c r="J71" s="5">
        <v>8</v>
      </c>
      <c r="K71" s="5">
        <v>38</v>
      </c>
      <c r="L71" s="5">
        <v>5</v>
      </c>
      <c r="M71" s="5">
        <v>30</v>
      </c>
      <c r="N71" s="5">
        <v>0</v>
      </c>
      <c r="O71" s="5" t="str">
        <f>IF(K71&lt;H71,"Shortage",IF((K71-H71)&lt;=L71,"Reorder Needed","OK"))</f>
        <v>OK</v>
      </c>
      <c r="P71" s="5" t="s">
        <v>532</v>
      </c>
    </row>
    <row r="72" spans="1:16" x14ac:dyDescent="0.2">
      <c r="A72" s="5" t="s">
        <v>142</v>
      </c>
      <c r="B72" s="5" t="s">
        <v>135</v>
      </c>
      <c r="C72" s="5" t="s">
        <v>35</v>
      </c>
      <c r="D72" s="5" t="s">
        <v>45</v>
      </c>
      <c r="E72" s="5" t="s">
        <v>537</v>
      </c>
      <c r="F72" s="5">
        <v>1</v>
      </c>
      <c r="G72" s="5"/>
      <c r="H72" s="5">
        <v>25</v>
      </c>
      <c r="I72" s="5">
        <v>47</v>
      </c>
      <c r="J72" s="5">
        <v>9</v>
      </c>
      <c r="K72" s="5">
        <v>38</v>
      </c>
      <c r="L72" s="5">
        <v>5</v>
      </c>
      <c r="M72" s="5">
        <v>30</v>
      </c>
      <c r="N72" s="5">
        <v>0</v>
      </c>
      <c r="O72" s="5" t="str">
        <f>IF(K72&lt;H72,"Shortage",IF((K72-H72)&lt;=L72,"Reorder Needed","OK"))</f>
        <v>OK</v>
      </c>
      <c r="P72" s="5" t="s">
        <v>532</v>
      </c>
    </row>
    <row r="73" spans="1:16" x14ac:dyDescent="0.2">
      <c r="A73" s="5" t="s">
        <v>143</v>
      </c>
      <c r="B73" s="5" t="s">
        <v>135</v>
      </c>
      <c r="C73" s="5" t="s">
        <v>35</v>
      </c>
      <c r="D73" s="5" t="s">
        <v>45</v>
      </c>
      <c r="E73" s="5" t="s">
        <v>537</v>
      </c>
      <c r="F73" s="5">
        <v>1</v>
      </c>
      <c r="G73" s="5"/>
      <c r="H73" s="5">
        <v>25</v>
      </c>
      <c r="I73" s="5">
        <v>48</v>
      </c>
      <c r="J73" s="5">
        <v>10</v>
      </c>
      <c r="K73" s="5">
        <v>38</v>
      </c>
      <c r="L73" s="5">
        <v>5</v>
      </c>
      <c r="M73" s="5">
        <v>30</v>
      </c>
      <c r="N73" s="5">
        <v>0</v>
      </c>
      <c r="O73" s="5" t="str">
        <f>IF(K73&lt;H73,"Shortage",IF((K73-H73)&lt;=L73,"Reorder Needed","OK"))</f>
        <v>OK</v>
      </c>
      <c r="P73" s="5" t="s">
        <v>532</v>
      </c>
    </row>
    <row r="74" spans="1:16" x14ac:dyDescent="0.2">
      <c r="A74" s="5" t="s">
        <v>144</v>
      </c>
      <c r="B74" s="5" t="s">
        <v>135</v>
      </c>
      <c r="C74" s="5" t="s">
        <v>35</v>
      </c>
      <c r="D74" s="5" t="s">
        <v>16</v>
      </c>
      <c r="E74" s="5" t="s">
        <v>537</v>
      </c>
      <c r="F74" s="5">
        <v>1</v>
      </c>
      <c r="G74" s="5"/>
      <c r="H74" s="5">
        <v>25</v>
      </c>
      <c r="I74" s="5">
        <v>160</v>
      </c>
      <c r="J74" s="5">
        <v>40</v>
      </c>
      <c r="K74" s="5">
        <v>120</v>
      </c>
      <c r="L74" s="5">
        <v>5</v>
      </c>
      <c r="M74" s="5">
        <v>30</v>
      </c>
      <c r="N74" s="5">
        <v>0</v>
      </c>
      <c r="O74" s="5" t="str">
        <f>IF(K74&lt;H74,"Shortage",IF((K74-H74)&lt;=L74,"Reorder Needed","OK"))</f>
        <v>OK</v>
      </c>
      <c r="P74" s="5" t="s">
        <v>531</v>
      </c>
    </row>
    <row r="75" spans="1:16" x14ac:dyDescent="0.2">
      <c r="A75" s="5" t="s">
        <v>145</v>
      </c>
      <c r="B75" s="5" t="s">
        <v>135</v>
      </c>
      <c r="C75" s="5" t="s">
        <v>41</v>
      </c>
      <c r="D75" s="5" t="s">
        <v>146</v>
      </c>
      <c r="E75" s="5" t="s">
        <v>41</v>
      </c>
      <c r="F75" s="5">
        <v>8</v>
      </c>
      <c r="G75" s="5"/>
      <c r="H75" s="5">
        <v>200</v>
      </c>
      <c r="I75" s="5">
        <v>84</v>
      </c>
      <c r="J75" s="5">
        <v>4</v>
      </c>
      <c r="K75" s="5">
        <v>80</v>
      </c>
      <c r="L75" s="5">
        <v>40</v>
      </c>
      <c r="M75" s="5">
        <v>240</v>
      </c>
      <c r="N75" s="5">
        <v>120</v>
      </c>
      <c r="O75" s="5" t="str">
        <f>IF(K75&lt;H75,"Shortage",IF((K75-H75)&lt;=L75,"Reorder Needed","OK"))</f>
        <v>Shortage</v>
      </c>
      <c r="P75" s="5" t="s">
        <v>532</v>
      </c>
    </row>
    <row r="76" spans="1:16" x14ac:dyDescent="0.2">
      <c r="A76" s="5" t="s">
        <v>150</v>
      </c>
      <c r="B76" s="5" t="s">
        <v>147</v>
      </c>
      <c r="C76" s="5" t="s">
        <v>151</v>
      </c>
      <c r="D76" s="5" t="s">
        <v>16</v>
      </c>
      <c r="E76" s="5" t="s">
        <v>537</v>
      </c>
      <c r="F76" s="5">
        <v>2</v>
      </c>
      <c r="G76" s="5"/>
      <c r="H76" s="5">
        <v>50</v>
      </c>
      <c r="I76" s="5">
        <v>65</v>
      </c>
      <c r="J76" s="5">
        <v>15</v>
      </c>
      <c r="K76" s="5">
        <v>50</v>
      </c>
      <c r="L76" s="5">
        <v>10</v>
      </c>
      <c r="M76" s="5">
        <v>60</v>
      </c>
      <c r="N76" s="5">
        <v>0</v>
      </c>
      <c r="O76" s="5" t="str">
        <f>IF(K76&lt;H76,"Shortage",IF((K76-H76)&lt;=L76,"Reorder Needed","OK"))</f>
        <v>Reorder Needed</v>
      </c>
      <c r="P76" s="5" t="s">
        <v>532</v>
      </c>
    </row>
    <row r="77" spans="1:16" x14ac:dyDescent="0.2">
      <c r="A77" s="5" t="s">
        <v>152</v>
      </c>
      <c r="B77" s="5" t="s">
        <v>147</v>
      </c>
      <c r="C77" s="5" t="s">
        <v>151</v>
      </c>
      <c r="D77" s="5" t="s">
        <v>16</v>
      </c>
      <c r="E77" s="5" t="s">
        <v>537</v>
      </c>
      <c r="F77" s="5">
        <v>2</v>
      </c>
      <c r="G77" s="5"/>
      <c r="H77" s="5">
        <v>50</v>
      </c>
      <c r="I77" s="5">
        <v>125</v>
      </c>
      <c r="J77" s="5">
        <v>20</v>
      </c>
      <c r="K77" s="5">
        <v>105</v>
      </c>
      <c r="L77" s="5">
        <v>10</v>
      </c>
      <c r="M77" s="5">
        <v>60</v>
      </c>
      <c r="N77" s="5">
        <v>0</v>
      </c>
      <c r="O77" s="5" t="str">
        <f>IF(K77&lt;H77,"Shortage",IF((K77-H77)&lt;=L77,"Reorder Needed","OK"))</f>
        <v>OK</v>
      </c>
      <c r="P77" s="5" t="s">
        <v>532</v>
      </c>
    </row>
    <row r="78" spans="1:16" x14ac:dyDescent="0.2">
      <c r="A78" s="5" t="s">
        <v>153</v>
      </c>
      <c r="B78" s="5" t="s">
        <v>147</v>
      </c>
      <c r="C78" s="5" t="s">
        <v>151</v>
      </c>
      <c r="D78" s="5" t="s">
        <v>16</v>
      </c>
      <c r="E78" s="5" t="s">
        <v>537</v>
      </c>
      <c r="F78" s="5">
        <v>4</v>
      </c>
      <c r="G78" s="5"/>
      <c r="H78" s="5">
        <v>100</v>
      </c>
      <c r="I78" s="5">
        <v>150</v>
      </c>
      <c r="J78" s="5">
        <v>30</v>
      </c>
      <c r="K78" s="5">
        <v>120</v>
      </c>
      <c r="L78" s="5">
        <v>20</v>
      </c>
      <c r="M78" s="5">
        <v>120</v>
      </c>
      <c r="N78" s="5">
        <v>0</v>
      </c>
      <c r="O78" s="5" t="str">
        <f>IF(K78&lt;H78,"Shortage",IF((K78-H78)&lt;=L78,"Reorder Needed","OK"))</f>
        <v>Reorder Needed</v>
      </c>
      <c r="P78" s="5" t="s">
        <v>532</v>
      </c>
    </row>
    <row r="79" spans="1:16" x14ac:dyDescent="0.2">
      <c r="A79" s="5" t="s">
        <v>154</v>
      </c>
      <c r="B79" s="5" t="s">
        <v>147</v>
      </c>
      <c r="C79" s="5" t="s">
        <v>151</v>
      </c>
      <c r="D79" s="5" t="s">
        <v>16</v>
      </c>
      <c r="E79" s="5" t="s">
        <v>537</v>
      </c>
      <c r="F79" s="5">
        <v>4</v>
      </c>
      <c r="G79" s="5"/>
      <c r="H79" s="5">
        <v>100</v>
      </c>
      <c r="I79" s="5">
        <v>77</v>
      </c>
      <c r="J79" s="5">
        <v>15</v>
      </c>
      <c r="K79" s="5">
        <v>62</v>
      </c>
      <c r="L79" s="5">
        <v>20</v>
      </c>
      <c r="M79" s="5">
        <v>120</v>
      </c>
      <c r="N79" s="5">
        <v>38</v>
      </c>
      <c r="O79" s="5" t="str">
        <f>IF(K79&lt;H79,"Shortage",IF((K79-H79)&lt;=L79,"Reorder Needed","OK"))</f>
        <v>Shortage</v>
      </c>
      <c r="P79" s="5" t="s">
        <v>532</v>
      </c>
    </row>
    <row r="80" spans="1:16" x14ac:dyDescent="0.2">
      <c r="A80" s="5" t="s">
        <v>155</v>
      </c>
      <c r="B80" s="5" t="s">
        <v>147</v>
      </c>
      <c r="C80" s="5" t="s">
        <v>151</v>
      </c>
      <c r="D80" s="5" t="s">
        <v>16</v>
      </c>
      <c r="E80" s="5" t="s">
        <v>537</v>
      </c>
      <c r="F80" s="5">
        <v>2</v>
      </c>
      <c r="G80" s="5"/>
      <c r="H80" s="5">
        <v>50</v>
      </c>
      <c r="I80" s="5">
        <v>135</v>
      </c>
      <c r="J80" s="5">
        <v>20</v>
      </c>
      <c r="K80" s="5">
        <v>115</v>
      </c>
      <c r="L80" s="5">
        <v>10</v>
      </c>
      <c r="M80" s="5">
        <v>60</v>
      </c>
      <c r="N80" s="5">
        <v>0</v>
      </c>
      <c r="O80" s="5" t="str">
        <f>IF(K80&lt;H80,"Shortage",IF((K80-H80)&lt;=L80,"Reorder Needed","OK"))</f>
        <v>OK</v>
      </c>
      <c r="P80" s="5" t="s">
        <v>532</v>
      </c>
    </row>
    <row r="81" spans="1:16" x14ac:dyDescent="0.2">
      <c r="A81" s="5" t="s">
        <v>156</v>
      </c>
      <c r="B81" s="5" t="s">
        <v>147</v>
      </c>
      <c r="C81" s="5" t="s">
        <v>157</v>
      </c>
      <c r="D81" s="5" t="s">
        <v>16</v>
      </c>
      <c r="E81" s="5" t="s">
        <v>537</v>
      </c>
      <c r="F81" s="5">
        <v>4</v>
      </c>
      <c r="G81" s="5"/>
      <c r="H81" s="5">
        <v>100</v>
      </c>
      <c r="I81" s="5">
        <v>155</v>
      </c>
      <c r="J81" s="5">
        <v>30</v>
      </c>
      <c r="K81" s="5">
        <v>125</v>
      </c>
      <c r="L81" s="5">
        <v>20</v>
      </c>
      <c r="M81" s="5">
        <v>120</v>
      </c>
      <c r="N81" s="5">
        <v>0</v>
      </c>
      <c r="O81" s="5" t="str">
        <f>IF(K81&lt;H81,"Shortage",IF((K81-H81)&lt;=L81,"Reorder Needed","OK"))</f>
        <v>OK</v>
      </c>
      <c r="P81" s="5" t="s">
        <v>532</v>
      </c>
    </row>
    <row r="82" spans="1:16" x14ac:dyDescent="0.2">
      <c r="A82" s="5" t="s">
        <v>158</v>
      </c>
      <c r="B82" s="5" t="s">
        <v>147</v>
      </c>
      <c r="C82" s="5" t="s">
        <v>157</v>
      </c>
      <c r="D82" s="5" t="s">
        <v>16</v>
      </c>
      <c r="E82" s="5" t="s">
        <v>537</v>
      </c>
      <c r="F82" s="5">
        <v>4</v>
      </c>
      <c r="G82" s="5"/>
      <c r="H82" s="5">
        <v>100</v>
      </c>
      <c r="I82" s="5">
        <v>130</v>
      </c>
      <c r="J82" s="5">
        <v>30</v>
      </c>
      <c r="K82" s="5">
        <v>100</v>
      </c>
      <c r="L82" s="5">
        <v>20</v>
      </c>
      <c r="M82" s="5">
        <v>120</v>
      </c>
      <c r="N82" s="5">
        <v>0</v>
      </c>
      <c r="O82" s="5" t="str">
        <f>IF(K82&lt;H82,"Shortage",IF((K82-H82)&lt;=L82,"Reorder Needed","OK"))</f>
        <v>Reorder Needed</v>
      </c>
      <c r="P82" s="5" t="s">
        <v>532</v>
      </c>
    </row>
    <row r="83" spans="1:16" x14ac:dyDescent="0.2">
      <c r="A83" s="5" t="s">
        <v>159</v>
      </c>
      <c r="B83" s="5" t="s">
        <v>147</v>
      </c>
      <c r="C83" s="5" t="s">
        <v>160</v>
      </c>
      <c r="D83" s="5" t="s">
        <v>16</v>
      </c>
      <c r="E83" s="5" t="s">
        <v>537</v>
      </c>
      <c r="F83" s="5">
        <v>4</v>
      </c>
      <c r="G83" s="5"/>
      <c r="H83" s="5">
        <v>100</v>
      </c>
      <c r="I83" s="5">
        <v>135</v>
      </c>
      <c r="J83" s="5">
        <v>20</v>
      </c>
      <c r="K83" s="5">
        <v>115</v>
      </c>
      <c r="L83" s="5">
        <v>20</v>
      </c>
      <c r="M83" s="5">
        <v>120</v>
      </c>
      <c r="N83" s="5">
        <v>0</v>
      </c>
      <c r="O83" s="5" t="str">
        <f>IF(K83&lt;H83,"Shortage",IF((K83-H83)&lt;=L83,"Reorder Needed","OK"))</f>
        <v>Reorder Needed</v>
      </c>
      <c r="P83" s="5" t="s">
        <v>532</v>
      </c>
    </row>
    <row r="84" spans="1:16" x14ac:dyDescent="0.2">
      <c r="A84" s="5" t="s">
        <v>21</v>
      </c>
      <c r="B84" s="5" t="s">
        <v>14</v>
      </c>
      <c r="C84" s="5" t="s">
        <v>13</v>
      </c>
      <c r="D84" s="5" t="s">
        <v>22</v>
      </c>
      <c r="E84" s="5" t="s">
        <v>537</v>
      </c>
      <c r="F84" s="8">
        <v>4416</v>
      </c>
      <c r="G84" s="5"/>
      <c r="H84" s="5">
        <v>110400</v>
      </c>
      <c r="I84" s="5">
        <v>124000</v>
      </c>
      <c r="J84" s="5">
        <v>8000</v>
      </c>
      <c r="K84" s="5">
        <v>116000</v>
      </c>
      <c r="L84" s="5">
        <v>22080</v>
      </c>
      <c r="M84" s="5">
        <v>132480</v>
      </c>
      <c r="N84" s="5">
        <v>0</v>
      </c>
      <c r="O84" s="5" t="str">
        <f>IF(K84&lt;H84,"Shortage",IF((K84-H84)&lt;=L84,"Reorder Needed","OK"))</f>
        <v>Reorder Needed</v>
      </c>
      <c r="P84" s="5" t="s">
        <v>532</v>
      </c>
    </row>
    <row r="85" spans="1:16" x14ac:dyDescent="0.2">
      <c r="A85" s="5" t="s">
        <v>23</v>
      </c>
      <c r="B85" s="5" t="s">
        <v>14</v>
      </c>
      <c r="C85" s="5" t="s">
        <v>25</v>
      </c>
      <c r="D85" s="5" t="s">
        <v>24</v>
      </c>
      <c r="E85" s="5" t="s">
        <v>537</v>
      </c>
      <c r="F85" s="5">
        <v>4</v>
      </c>
      <c r="G85" s="5"/>
      <c r="H85" s="5">
        <v>100</v>
      </c>
      <c r="I85" s="5">
        <v>290</v>
      </c>
      <c r="J85" s="5">
        <v>30</v>
      </c>
      <c r="K85" s="5">
        <v>260</v>
      </c>
      <c r="L85" s="5">
        <v>20</v>
      </c>
      <c r="M85" s="5">
        <v>120</v>
      </c>
      <c r="N85" s="5">
        <v>0</v>
      </c>
      <c r="O85" s="5" t="str">
        <f>IF(K85&lt;H85,"Shortage",IF((K85-H85)&lt;=L85,"Reorder Needed","OK"))</f>
        <v>OK</v>
      </c>
      <c r="P85" s="5" t="s">
        <v>532</v>
      </c>
    </row>
    <row r="86" spans="1:16" x14ac:dyDescent="0.2">
      <c r="A86" s="5" t="s">
        <v>26</v>
      </c>
      <c r="B86" s="5" t="s">
        <v>14</v>
      </c>
      <c r="C86" s="5" t="s">
        <v>17</v>
      </c>
      <c r="D86" s="5" t="s">
        <v>16</v>
      </c>
      <c r="E86" s="5" t="s">
        <v>537</v>
      </c>
      <c r="F86" s="5">
        <v>8</v>
      </c>
      <c r="G86" s="5"/>
      <c r="H86" s="5">
        <v>200</v>
      </c>
      <c r="I86" s="5">
        <v>300</v>
      </c>
      <c r="J86" s="5">
        <v>40</v>
      </c>
      <c r="K86" s="5">
        <v>260</v>
      </c>
      <c r="L86" s="5">
        <v>40</v>
      </c>
      <c r="M86" s="5">
        <v>240</v>
      </c>
      <c r="N86" s="5">
        <v>0</v>
      </c>
      <c r="O86" s="5" t="str">
        <f>IF(K86&lt;H86,"Shortage",IF((K86-H86)&lt;=L86,"Reorder Needed","OK"))</f>
        <v>OK</v>
      </c>
      <c r="P86" s="5" t="s">
        <v>532</v>
      </c>
    </row>
    <row r="87" spans="1:16" x14ac:dyDescent="0.2">
      <c r="A87" s="5" t="s">
        <v>27</v>
      </c>
      <c r="B87" s="5" t="s">
        <v>14</v>
      </c>
      <c r="C87" s="5" t="s">
        <v>17</v>
      </c>
      <c r="D87" s="5" t="s">
        <v>16</v>
      </c>
      <c r="E87" s="5" t="s">
        <v>537</v>
      </c>
      <c r="F87" s="5">
        <v>8</v>
      </c>
      <c r="G87" s="5"/>
      <c r="H87" s="5">
        <v>200</v>
      </c>
      <c r="I87" s="5">
        <v>500</v>
      </c>
      <c r="J87" s="5">
        <v>60</v>
      </c>
      <c r="K87" s="5">
        <v>440</v>
      </c>
      <c r="L87" s="5">
        <v>40</v>
      </c>
      <c r="M87" s="5">
        <v>240</v>
      </c>
      <c r="N87" s="5">
        <v>0</v>
      </c>
      <c r="O87" s="5" t="str">
        <f>IF(K87&lt;H87,"Shortage",IF((K87-H87)&lt;=L87,"Reorder Needed","OK"))</f>
        <v>OK</v>
      </c>
      <c r="P87" s="5" t="s">
        <v>532</v>
      </c>
    </row>
    <row r="88" spans="1:16" x14ac:dyDescent="0.2">
      <c r="A88" s="5" t="s">
        <v>28</v>
      </c>
      <c r="B88" s="5" t="s">
        <v>14</v>
      </c>
      <c r="C88" s="5" t="s">
        <v>29</v>
      </c>
      <c r="D88" s="5" t="s">
        <v>16</v>
      </c>
      <c r="E88" s="5" t="s">
        <v>537</v>
      </c>
      <c r="F88" s="5">
        <v>16</v>
      </c>
      <c r="G88" s="5"/>
      <c r="H88" s="5">
        <v>400</v>
      </c>
      <c r="I88" s="5">
        <v>560</v>
      </c>
      <c r="J88" s="5">
        <v>40</v>
      </c>
      <c r="K88" s="5">
        <v>520</v>
      </c>
      <c r="L88" s="5">
        <v>80</v>
      </c>
      <c r="M88" s="5">
        <v>480</v>
      </c>
      <c r="N88" s="5">
        <v>0</v>
      </c>
      <c r="O88" s="5" t="str">
        <f>IF(K88&lt;H88,"Shortage",IF((K88-H88)&lt;=L88,"Reorder Needed","OK"))</f>
        <v>OK</v>
      </c>
      <c r="P88" s="5" t="s">
        <v>532</v>
      </c>
    </row>
    <row r="89" spans="1:16" x14ac:dyDescent="0.2">
      <c r="A89" s="5" t="s">
        <v>30</v>
      </c>
      <c r="B89" s="5" t="s">
        <v>14</v>
      </c>
      <c r="C89" s="5" t="s">
        <v>29</v>
      </c>
      <c r="D89" s="5" t="s">
        <v>31</v>
      </c>
      <c r="E89" s="5" t="s">
        <v>537</v>
      </c>
      <c r="F89" s="8">
        <v>4416</v>
      </c>
      <c r="G89" s="5"/>
      <c r="H89" s="5">
        <v>110400</v>
      </c>
      <c r="I89" s="5">
        <v>132000</v>
      </c>
      <c r="J89" s="5">
        <v>10000</v>
      </c>
      <c r="K89" s="5">
        <v>122000</v>
      </c>
      <c r="L89" s="5">
        <v>22080</v>
      </c>
      <c r="M89" s="5">
        <v>132480</v>
      </c>
      <c r="N89" s="5">
        <v>0</v>
      </c>
      <c r="O89" s="5" t="str">
        <f>IF(K89&lt;H89,"Shortage",IF((K89-H89)&lt;=L89,"Reorder Needed","OK"))</f>
        <v>Reorder Needed</v>
      </c>
      <c r="P89" s="5" t="s">
        <v>532</v>
      </c>
    </row>
    <row r="90" spans="1:16" x14ac:dyDescent="0.2">
      <c r="A90" s="5" t="s">
        <v>32</v>
      </c>
      <c r="B90" s="5" t="s">
        <v>14</v>
      </c>
      <c r="C90" s="5" t="s">
        <v>29</v>
      </c>
      <c r="D90" s="5" t="s">
        <v>16</v>
      </c>
      <c r="E90" s="5" t="s">
        <v>537</v>
      </c>
      <c r="F90" s="5">
        <v>24</v>
      </c>
      <c r="G90" s="5"/>
      <c r="H90" s="5">
        <v>600</v>
      </c>
      <c r="I90" s="5">
        <v>540</v>
      </c>
      <c r="J90" s="5">
        <v>60</v>
      </c>
      <c r="K90" s="5">
        <v>480</v>
      </c>
      <c r="L90" s="5">
        <v>120</v>
      </c>
      <c r="M90" s="5">
        <v>720</v>
      </c>
      <c r="N90" s="5">
        <v>120</v>
      </c>
      <c r="O90" s="5" t="str">
        <f>IF(K90&lt;H90,"Shortage",IF((K90-H90)&lt;=L90,"Reorder Needed","OK"))</f>
        <v>Shortage</v>
      </c>
      <c r="P90" s="5" t="s">
        <v>532</v>
      </c>
    </row>
    <row r="91" spans="1:16" x14ac:dyDescent="0.2">
      <c r="A91" s="5" t="s">
        <v>33</v>
      </c>
      <c r="B91" s="5" t="s">
        <v>14</v>
      </c>
      <c r="C91" s="5" t="s">
        <v>29</v>
      </c>
      <c r="D91" s="5" t="s">
        <v>16</v>
      </c>
      <c r="E91" s="5" t="s">
        <v>537</v>
      </c>
      <c r="F91" s="5">
        <v>16</v>
      </c>
      <c r="G91" s="5"/>
      <c r="H91" s="5">
        <v>400</v>
      </c>
      <c r="I91" s="5">
        <v>360</v>
      </c>
      <c r="J91" s="5">
        <v>40</v>
      </c>
      <c r="K91" s="5">
        <v>320</v>
      </c>
      <c r="L91" s="5">
        <v>80</v>
      </c>
      <c r="M91" s="5">
        <v>480</v>
      </c>
      <c r="N91" s="5">
        <v>80</v>
      </c>
      <c r="O91" s="5" t="str">
        <f>IF(K91&lt;H91,"Shortage",IF((K91-H91)&lt;=L91,"Reorder Needed","OK"))</f>
        <v>Shortage</v>
      </c>
      <c r="P91" s="5" t="s">
        <v>532</v>
      </c>
    </row>
    <row r="92" spans="1:16" x14ac:dyDescent="0.2">
      <c r="A92" s="5" t="s">
        <v>34</v>
      </c>
      <c r="B92" s="5" t="s">
        <v>14</v>
      </c>
      <c r="C92" s="5" t="s">
        <v>35</v>
      </c>
      <c r="D92" s="5" t="s">
        <v>24</v>
      </c>
      <c r="E92" s="5" t="s">
        <v>537</v>
      </c>
      <c r="F92" s="5">
        <v>4</v>
      </c>
      <c r="G92" s="5"/>
      <c r="H92" s="5">
        <v>100</v>
      </c>
      <c r="I92" s="5">
        <v>390</v>
      </c>
      <c r="J92" s="5">
        <v>90</v>
      </c>
      <c r="K92" s="5">
        <v>300</v>
      </c>
      <c r="L92" s="5">
        <v>20</v>
      </c>
      <c r="M92" s="5">
        <v>120</v>
      </c>
      <c r="N92" s="5">
        <v>0</v>
      </c>
      <c r="O92" s="5" t="str">
        <f>IF(K92&lt;H92,"Shortage",IF((K92-H92)&lt;=L92,"Reorder Needed","OK"))</f>
        <v>OK</v>
      </c>
      <c r="P92" s="5" t="s">
        <v>532</v>
      </c>
    </row>
    <row r="93" spans="1:16" x14ac:dyDescent="0.2">
      <c r="A93" s="5" t="s">
        <v>36</v>
      </c>
      <c r="B93" s="5" t="s">
        <v>14</v>
      </c>
      <c r="C93" s="5" t="s">
        <v>38</v>
      </c>
      <c r="D93" s="5" t="s">
        <v>37</v>
      </c>
      <c r="E93" s="5" t="s">
        <v>537</v>
      </c>
      <c r="F93" s="5">
        <v>12</v>
      </c>
      <c r="G93" s="5"/>
      <c r="H93" s="5">
        <v>300</v>
      </c>
      <c r="I93" s="5">
        <v>260</v>
      </c>
      <c r="J93" s="5">
        <v>30</v>
      </c>
      <c r="K93" s="5">
        <v>230</v>
      </c>
      <c r="L93" s="5">
        <v>60</v>
      </c>
      <c r="M93" s="5">
        <v>360</v>
      </c>
      <c r="N93" s="5">
        <v>70</v>
      </c>
      <c r="O93" s="5" t="str">
        <f>IF(K93&lt;H93,"Shortage",IF((K93-H93)&lt;=L93,"Reorder Needed","OK"))</f>
        <v>Shortage</v>
      </c>
      <c r="P93" s="5" t="s">
        <v>532</v>
      </c>
    </row>
    <row r="94" spans="1:16" x14ac:dyDescent="0.2">
      <c r="A94" s="5" t="s">
        <v>39</v>
      </c>
      <c r="B94" s="5" t="s">
        <v>14</v>
      </c>
      <c r="C94" s="5" t="s">
        <v>41</v>
      </c>
      <c r="D94" s="5" t="s">
        <v>40</v>
      </c>
      <c r="E94" s="5" t="s">
        <v>537</v>
      </c>
      <c r="F94" s="5">
        <v>1</v>
      </c>
      <c r="G94" s="5"/>
      <c r="H94" s="5">
        <v>25</v>
      </c>
      <c r="I94" s="5">
        <v>38</v>
      </c>
      <c r="J94" s="5">
        <v>8</v>
      </c>
      <c r="K94" s="5">
        <v>30</v>
      </c>
      <c r="L94" s="5">
        <v>5</v>
      </c>
      <c r="M94" s="5">
        <v>30</v>
      </c>
      <c r="N94" s="5">
        <v>0</v>
      </c>
      <c r="O94" s="5" t="str">
        <f>IF(K94&lt;H94,"Shortage",IF((K94-H94)&lt;=L94,"Reorder Needed","OK"))</f>
        <v>Reorder Needed</v>
      </c>
      <c r="P94" s="5" t="s">
        <v>532</v>
      </c>
    </row>
    <row r="95" spans="1:16" x14ac:dyDescent="0.2">
      <c r="A95" s="5" t="s">
        <v>67</v>
      </c>
      <c r="B95" s="5" t="s">
        <v>64</v>
      </c>
      <c r="C95" s="5" t="s">
        <v>68</v>
      </c>
      <c r="D95" s="5" t="s">
        <v>16</v>
      </c>
      <c r="E95" s="5" t="s">
        <v>41</v>
      </c>
      <c r="F95" s="5">
        <v>1</v>
      </c>
      <c r="G95" s="5"/>
      <c r="H95" s="5">
        <v>25</v>
      </c>
      <c r="I95" s="5">
        <v>39</v>
      </c>
      <c r="J95" s="5">
        <v>9</v>
      </c>
      <c r="K95" s="5">
        <v>30</v>
      </c>
      <c r="L95" s="5">
        <v>5</v>
      </c>
      <c r="M95" s="5">
        <v>30</v>
      </c>
      <c r="N95" s="5">
        <v>0</v>
      </c>
      <c r="O95" s="5" t="str">
        <f>IF(K95&lt;H95,"Shortage",IF((K95-H95)&lt;=L95,"Reorder Needed","OK"))</f>
        <v>Reorder Needed</v>
      </c>
      <c r="P95" s="5" t="s">
        <v>532</v>
      </c>
    </row>
    <row r="96" spans="1:16" x14ac:dyDescent="0.2">
      <c r="A96" s="5" t="s">
        <v>69</v>
      </c>
      <c r="B96" s="5" t="s">
        <v>64</v>
      </c>
      <c r="C96" s="5" t="s">
        <v>68</v>
      </c>
      <c r="D96" s="5" t="s">
        <v>16</v>
      </c>
      <c r="E96" s="5" t="s">
        <v>537</v>
      </c>
      <c r="F96" s="5">
        <v>1</v>
      </c>
      <c r="G96" s="5"/>
      <c r="H96" s="5">
        <v>25</v>
      </c>
      <c r="I96" s="5">
        <v>43</v>
      </c>
      <c r="J96" s="5">
        <v>10</v>
      </c>
      <c r="K96" s="5">
        <v>33</v>
      </c>
      <c r="L96" s="5">
        <v>5</v>
      </c>
      <c r="M96" s="5">
        <v>30</v>
      </c>
      <c r="N96" s="5">
        <v>0</v>
      </c>
      <c r="O96" s="5" t="str">
        <f>IF(K96&lt;H96,"Shortage",IF((K96-H96)&lt;=L96,"Reorder Needed","OK"))</f>
        <v>OK</v>
      </c>
      <c r="P96" s="5" t="s">
        <v>531</v>
      </c>
    </row>
    <row r="97" spans="1:16" x14ac:dyDescent="0.2">
      <c r="A97" s="5" t="s">
        <v>70</v>
      </c>
      <c r="B97" s="5" t="s">
        <v>64</v>
      </c>
      <c r="C97" s="5" t="s">
        <v>68</v>
      </c>
      <c r="D97" s="5" t="s">
        <v>45</v>
      </c>
      <c r="E97" s="5" t="s">
        <v>537</v>
      </c>
      <c r="F97" s="5">
        <v>1</v>
      </c>
      <c r="G97" s="5"/>
      <c r="H97" s="5">
        <v>25</v>
      </c>
      <c r="I97" s="5">
        <v>27</v>
      </c>
      <c r="J97" s="5">
        <v>3</v>
      </c>
      <c r="K97" s="5">
        <v>24</v>
      </c>
      <c r="L97" s="5">
        <v>5</v>
      </c>
      <c r="M97" s="5">
        <v>30</v>
      </c>
      <c r="N97" s="5">
        <v>1</v>
      </c>
      <c r="O97" s="5" t="str">
        <f>IF(K97&lt;H97,"Shortage",IF((K97-H97)&lt;=L97,"Reorder Needed","OK"))</f>
        <v>Shortage</v>
      </c>
      <c r="P97" s="5" t="s">
        <v>531</v>
      </c>
    </row>
    <row r="98" spans="1:16" x14ac:dyDescent="0.2">
      <c r="A98" s="5" t="s">
        <v>71</v>
      </c>
      <c r="B98" s="5" t="s">
        <v>64</v>
      </c>
      <c r="C98" s="5" t="s">
        <v>68</v>
      </c>
      <c r="D98" s="5" t="s">
        <v>45</v>
      </c>
      <c r="E98" s="5" t="s">
        <v>537</v>
      </c>
      <c r="F98" s="5">
        <v>1</v>
      </c>
      <c r="G98" s="5"/>
      <c r="H98" s="5">
        <v>25</v>
      </c>
      <c r="I98" s="5">
        <v>45</v>
      </c>
      <c r="J98" s="5">
        <v>4</v>
      </c>
      <c r="K98" s="5">
        <v>41</v>
      </c>
      <c r="L98" s="5">
        <v>5</v>
      </c>
      <c r="M98" s="5">
        <v>30</v>
      </c>
      <c r="N98" s="5">
        <v>0</v>
      </c>
      <c r="O98" s="5" t="str">
        <f>IF(K98&lt;H98,"Shortage",IF((K98-H98)&lt;=L98,"Reorder Needed","OK"))</f>
        <v>OK</v>
      </c>
      <c r="P98" s="5" t="s">
        <v>532</v>
      </c>
    </row>
    <row r="99" spans="1:16" x14ac:dyDescent="0.2">
      <c r="A99" s="5" t="s">
        <v>72</v>
      </c>
      <c r="B99" s="5" t="s">
        <v>64</v>
      </c>
      <c r="C99" s="5" t="s">
        <v>17</v>
      </c>
      <c r="D99" s="5" t="s">
        <v>16</v>
      </c>
      <c r="E99" s="5" t="s">
        <v>537</v>
      </c>
      <c r="F99" s="5">
        <v>1</v>
      </c>
      <c r="G99" s="5"/>
      <c r="H99" s="5">
        <v>25</v>
      </c>
      <c r="I99" s="5">
        <v>70</v>
      </c>
      <c r="J99" s="5">
        <v>15</v>
      </c>
      <c r="K99" s="5">
        <v>55</v>
      </c>
      <c r="L99" s="5">
        <v>5</v>
      </c>
      <c r="M99" s="5">
        <v>30</v>
      </c>
      <c r="N99" s="5">
        <v>0</v>
      </c>
      <c r="O99" s="5" t="str">
        <f>IF(K99&lt;H99,"Shortage",IF((K99-H99)&lt;=L99,"Reorder Needed","OK"))</f>
        <v>OK</v>
      </c>
      <c r="P99" s="5" t="s">
        <v>532</v>
      </c>
    </row>
    <row r="100" spans="1:16" x14ac:dyDescent="0.2">
      <c r="A100" s="5" t="s">
        <v>73</v>
      </c>
      <c r="B100" s="5" t="s">
        <v>64</v>
      </c>
      <c r="C100" s="5" t="s">
        <v>61</v>
      </c>
      <c r="D100" s="5" t="s">
        <v>16</v>
      </c>
      <c r="E100" s="5" t="s">
        <v>537</v>
      </c>
      <c r="F100" s="5">
        <v>2</v>
      </c>
      <c r="G100" s="5"/>
      <c r="H100" s="5">
        <v>50</v>
      </c>
      <c r="I100" s="5">
        <v>47</v>
      </c>
      <c r="J100" s="5">
        <v>6</v>
      </c>
      <c r="K100" s="5">
        <v>41</v>
      </c>
      <c r="L100" s="5">
        <v>10</v>
      </c>
      <c r="M100" s="5">
        <v>60</v>
      </c>
      <c r="N100" s="5">
        <v>9</v>
      </c>
      <c r="O100" s="5" t="str">
        <f>IF(K100&lt;H100,"Shortage",IF((K100-H100)&lt;=L100,"Reorder Needed","OK"))</f>
        <v>Shortage</v>
      </c>
      <c r="P100" s="5" t="s">
        <v>531</v>
      </c>
    </row>
    <row r="101" spans="1:16" x14ac:dyDescent="0.2">
      <c r="A101" s="5" t="s">
        <v>74</v>
      </c>
      <c r="B101" s="5" t="s">
        <v>64</v>
      </c>
      <c r="C101" s="5" t="s">
        <v>61</v>
      </c>
      <c r="D101" s="5" t="s">
        <v>16</v>
      </c>
      <c r="E101" s="5" t="s">
        <v>537</v>
      </c>
      <c r="F101" s="5">
        <v>1</v>
      </c>
      <c r="G101" s="5"/>
      <c r="H101" s="5">
        <v>25</v>
      </c>
      <c r="I101" s="5">
        <v>48</v>
      </c>
      <c r="J101" s="5">
        <v>7</v>
      </c>
      <c r="K101" s="5">
        <v>41</v>
      </c>
      <c r="L101" s="5">
        <v>5</v>
      </c>
      <c r="M101" s="5">
        <v>30</v>
      </c>
      <c r="N101" s="5">
        <v>0</v>
      </c>
      <c r="O101" s="5" t="str">
        <f>IF(K101&lt;H101,"Shortage",IF((K101-H101)&lt;=L101,"Reorder Needed","OK"))</f>
        <v>OK</v>
      </c>
      <c r="P101" s="5" t="s">
        <v>532</v>
      </c>
    </row>
    <row r="102" spans="1:16" x14ac:dyDescent="0.2">
      <c r="A102" s="5" t="s">
        <v>75</v>
      </c>
      <c r="B102" s="5" t="s">
        <v>64</v>
      </c>
      <c r="C102" s="5" t="s">
        <v>0</v>
      </c>
      <c r="D102" s="5" t="s">
        <v>16</v>
      </c>
      <c r="E102" s="5" t="s">
        <v>537</v>
      </c>
      <c r="F102" s="5">
        <v>1</v>
      </c>
      <c r="G102" s="5"/>
      <c r="H102" s="5">
        <v>25</v>
      </c>
      <c r="I102" s="5">
        <v>24</v>
      </c>
      <c r="J102" s="5">
        <v>8</v>
      </c>
      <c r="K102" s="5">
        <v>16</v>
      </c>
      <c r="L102" s="5">
        <v>5</v>
      </c>
      <c r="M102" s="5">
        <v>30</v>
      </c>
      <c r="N102" s="5">
        <v>9</v>
      </c>
      <c r="O102" s="5" t="str">
        <f>IF(K102&lt;H102,"Shortage",IF((K102-H102)&lt;=L102,"Reorder Needed","OK"))</f>
        <v>Shortage</v>
      </c>
      <c r="P102" s="5" t="s">
        <v>531</v>
      </c>
    </row>
    <row r="103" spans="1:16" x14ac:dyDescent="0.2">
      <c r="A103" s="5" t="s">
        <v>78</v>
      </c>
      <c r="B103" s="5" t="s">
        <v>64</v>
      </c>
      <c r="C103" s="5" t="s">
        <v>0</v>
      </c>
      <c r="D103" s="5" t="s">
        <v>16</v>
      </c>
      <c r="E103" s="5" t="s">
        <v>537</v>
      </c>
      <c r="F103" s="5">
        <v>1</v>
      </c>
      <c r="G103" s="5"/>
      <c r="H103" s="5">
        <v>25</v>
      </c>
      <c r="I103" s="5">
        <v>49</v>
      </c>
      <c r="J103" s="5">
        <v>9</v>
      </c>
      <c r="K103" s="5">
        <v>40</v>
      </c>
      <c r="L103" s="5">
        <v>5</v>
      </c>
      <c r="M103" s="5">
        <v>30</v>
      </c>
      <c r="N103" s="5">
        <v>0</v>
      </c>
      <c r="O103" s="5" t="str">
        <f>IF(K103&lt;H103,"Shortage",IF((K103-H103)&lt;=L103,"Reorder Needed","OK"))</f>
        <v>OK</v>
      </c>
      <c r="P103" s="5" t="s">
        <v>531</v>
      </c>
    </row>
    <row r="104" spans="1:16" x14ac:dyDescent="0.2">
      <c r="A104" s="5" t="s">
        <v>79</v>
      </c>
      <c r="B104" s="5" t="s">
        <v>64</v>
      </c>
      <c r="C104" s="5" t="s">
        <v>0</v>
      </c>
      <c r="D104" s="5" t="s">
        <v>16</v>
      </c>
      <c r="E104" s="5" t="s">
        <v>537</v>
      </c>
      <c r="F104" s="5">
        <v>1</v>
      </c>
      <c r="G104" s="5"/>
      <c r="H104" s="5">
        <v>25</v>
      </c>
      <c r="I104" s="5">
        <v>50</v>
      </c>
      <c r="J104" s="5">
        <v>10</v>
      </c>
      <c r="K104" s="5">
        <v>40</v>
      </c>
      <c r="L104" s="5">
        <v>5</v>
      </c>
      <c r="M104" s="5">
        <v>30</v>
      </c>
      <c r="N104" s="5">
        <v>0</v>
      </c>
      <c r="O104" s="5" t="str">
        <f>IF(K104&lt;H104,"Shortage",IF((K104-H104)&lt;=L104,"Reorder Needed","OK"))</f>
        <v>OK</v>
      </c>
      <c r="P104" s="5" t="s">
        <v>531</v>
      </c>
    </row>
    <row r="105" spans="1:16" x14ac:dyDescent="0.2">
      <c r="A105" s="5" t="s">
        <v>80</v>
      </c>
      <c r="B105" s="5" t="s">
        <v>64</v>
      </c>
      <c r="C105" s="5" t="s">
        <v>0</v>
      </c>
      <c r="D105" s="5" t="s">
        <v>16</v>
      </c>
      <c r="E105" s="5" t="s">
        <v>537</v>
      </c>
      <c r="F105" s="5">
        <v>1</v>
      </c>
      <c r="G105" s="5"/>
      <c r="H105" s="5">
        <v>25</v>
      </c>
      <c r="I105" s="5">
        <v>43</v>
      </c>
      <c r="J105" s="5">
        <v>3</v>
      </c>
      <c r="K105" s="5">
        <v>40</v>
      </c>
      <c r="L105" s="5">
        <v>5</v>
      </c>
      <c r="M105" s="5">
        <v>30</v>
      </c>
      <c r="N105" s="5">
        <v>0</v>
      </c>
      <c r="O105" s="5" t="str">
        <f>IF(K105&lt;H105,"Shortage",IF((K105-H105)&lt;=L105,"Reorder Needed","OK"))</f>
        <v>OK</v>
      </c>
      <c r="P105" s="5" t="s">
        <v>532</v>
      </c>
    </row>
    <row r="106" spans="1:16" x14ac:dyDescent="0.2">
      <c r="A106" s="5" t="s">
        <v>81</v>
      </c>
      <c r="B106" s="5" t="s">
        <v>64</v>
      </c>
      <c r="C106" s="5" t="s">
        <v>35</v>
      </c>
      <c r="D106" s="5" t="s">
        <v>16</v>
      </c>
      <c r="E106" s="5" t="s">
        <v>537</v>
      </c>
      <c r="F106" s="5">
        <v>1</v>
      </c>
      <c r="G106" s="5"/>
      <c r="H106" s="5">
        <v>25</v>
      </c>
      <c r="I106" s="5">
        <v>44</v>
      </c>
      <c r="J106" s="5">
        <v>4</v>
      </c>
      <c r="K106" s="5">
        <v>40</v>
      </c>
      <c r="L106" s="5">
        <v>5</v>
      </c>
      <c r="M106" s="5">
        <v>30</v>
      </c>
      <c r="N106" s="5">
        <v>0</v>
      </c>
      <c r="O106" s="5" t="str">
        <f>IF(K106&lt;H106,"Shortage",IF((K106-H106)&lt;=L106,"Reorder Needed","OK"))</f>
        <v>OK</v>
      </c>
      <c r="P106" s="5" t="s">
        <v>531</v>
      </c>
    </row>
    <row r="107" spans="1:16" x14ac:dyDescent="0.2">
      <c r="A107" s="5" t="s">
        <v>82</v>
      </c>
      <c r="B107" s="5" t="s">
        <v>64</v>
      </c>
      <c r="C107" s="5" t="s">
        <v>17</v>
      </c>
      <c r="D107" s="5" t="s">
        <v>16</v>
      </c>
      <c r="E107" s="5" t="s">
        <v>537</v>
      </c>
      <c r="F107" s="5">
        <v>1</v>
      </c>
      <c r="G107" s="5"/>
      <c r="H107" s="5">
        <v>25</v>
      </c>
      <c r="I107" s="5">
        <v>45</v>
      </c>
      <c r="J107" s="5">
        <v>5</v>
      </c>
      <c r="K107" s="5">
        <v>40</v>
      </c>
      <c r="L107" s="5">
        <v>5</v>
      </c>
      <c r="M107" s="5">
        <v>30</v>
      </c>
      <c r="N107" s="5">
        <v>0</v>
      </c>
      <c r="O107" s="5" t="str">
        <f>IF(K107&lt;H107,"Shortage",IF((K107-H107)&lt;=L107,"Reorder Needed","OK"))</f>
        <v>OK</v>
      </c>
      <c r="P107" s="5" t="s">
        <v>531</v>
      </c>
    </row>
    <row r="108" spans="1:16" x14ac:dyDescent="0.2">
      <c r="A108" s="5" t="s">
        <v>86</v>
      </c>
      <c r="B108" s="5" t="s">
        <v>64</v>
      </c>
      <c r="C108" s="5" t="s">
        <v>84</v>
      </c>
      <c r="D108" s="5" t="s">
        <v>45</v>
      </c>
      <c r="E108" s="5" t="s">
        <v>537</v>
      </c>
      <c r="F108" s="5">
        <v>1</v>
      </c>
      <c r="G108" s="5"/>
      <c r="H108" s="5">
        <v>25</v>
      </c>
      <c r="I108" s="5">
        <v>46</v>
      </c>
      <c r="J108" s="5">
        <v>6</v>
      </c>
      <c r="K108" s="5">
        <v>40</v>
      </c>
      <c r="L108" s="5">
        <v>5</v>
      </c>
      <c r="M108" s="5">
        <v>30</v>
      </c>
      <c r="N108" s="5">
        <v>0</v>
      </c>
      <c r="O108" s="5" t="str">
        <f>IF(K108&lt;H108,"Shortage",IF((K108-H108)&lt;=L108,"Reorder Needed","OK"))</f>
        <v>OK</v>
      </c>
      <c r="P108" s="5" t="s">
        <v>532</v>
      </c>
    </row>
    <row r="109" spans="1:16" x14ac:dyDescent="0.2">
      <c r="A109" s="5" t="s">
        <v>87</v>
      </c>
      <c r="B109" s="5" t="s">
        <v>64</v>
      </c>
      <c r="C109" s="5" t="s">
        <v>84</v>
      </c>
      <c r="D109" s="5" t="s">
        <v>16</v>
      </c>
      <c r="E109" s="5" t="s">
        <v>537</v>
      </c>
      <c r="F109" s="5">
        <v>1</v>
      </c>
      <c r="G109" s="5"/>
      <c r="H109" s="5">
        <v>25</v>
      </c>
      <c r="I109" s="5">
        <v>140</v>
      </c>
      <c r="J109" s="5">
        <v>20</v>
      </c>
      <c r="K109" s="5">
        <v>120</v>
      </c>
      <c r="L109" s="5">
        <v>5</v>
      </c>
      <c r="M109" s="5">
        <v>30</v>
      </c>
      <c r="N109" s="5">
        <v>0</v>
      </c>
      <c r="O109" s="5" t="str">
        <f>IF(K109&lt;H109,"Shortage",IF((K109-H109)&lt;=L109,"Reorder Needed","OK"))</f>
        <v>OK</v>
      </c>
      <c r="P109" s="5" t="s">
        <v>532</v>
      </c>
    </row>
    <row r="110" spans="1:16" x14ac:dyDescent="0.2">
      <c r="A110" s="5" t="s">
        <v>88</v>
      </c>
      <c r="B110" s="5" t="s">
        <v>64</v>
      </c>
      <c r="C110" s="5" t="s">
        <v>61</v>
      </c>
      <c r="D110" s="5" t="s">
        <v>16</v>
      </c>
      <c r="E110" s="5" t="s">
        <v>537</v>
      </c>
      <c r="F110" s="5">
        <v>4</v>
      </c>
      <c r="G110" s="5"/>
      <c r="H110" s="5">
        <v>100</v>
      </c>
      <c r="I110" s="5">
        <v>43</v>
      </c>
      <c r="J110" s="5">
        <v>8</v>
      </c>
      <c r="K110" s="5">
        <v>35</v>
      </c>
      <c r="L110" s="5">
        <v>20</v>
      </c>
      <c r="M110" s="5">
        <v>120</v>
      </c>
      <c r="N110" s="5">
        <v>65</v>
      </c>
      <c r="O110" s="5" t="str">
        <f>IF(K110&lt;H110,"Shortage",IF((K110-H110)&lt;=L110,"Reorder Needed","OK"))</f>
        <v>Shortage</v>
      </c>
      <c r="P110" s="5" t="s">
        <v>532</v>
      </c>
    </row>
    <row r="111" spans="1:16" x14ac:dyDescent="0.2">
      <c r="A111" s="5" t="s">
        <v>89</v>
      </c>
      <c r="B111" s="5" t="s">
        <v>64</v>
      </c>
      <c r="C111" s="5" t="s">
        <v>41</v>
      </c>
      <c r="D111" s="5" t="s">
        <v>90</v>
      </c>
      <c r="E111" s="5" t="s">
        <v>61</v>
      </c>
      <c r="F111" s="5">
        <v>1</v>
      </c>
      <c r="G111" s="5"/>
      <c r="H111" s="5">
        <v>25</v>
      </c>
      <c r="I111" s="5">
        <v>29</v>
      </c>
      <c r="J111" s="5">
        <v>7</v>
      </c>
      <c r="K111" s="5">
        <v>22</v>
      </c>
      <c r="L111" s="5">
        <v>5</v>
      </c>
      <c r="M111" s="5">
        <v>30</v>
      </c>
      <c r="N111" s="5">
        <v>3</v>
      </c>
      <c r="O111" s="5" t="str">
        <f>IF(K111&lt;H111,"Shortage",IF((K111-H111)&lt;=L111,"Reorder Needed","OK"))</f>
        <v>Shortage</v>
      </c>
      <c r="P111" s="5" t="s">
        <v>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1ABF-0123-4744-BFC9-F5A70B82ACA7}">
  <dimension ref="A1:N103"/>
  <sheetViews>
    <sheetView topLeftCell="A74" workbookViewId="0">
      <selection activeCell="E21" sqref="E21"/>
    </sheetView>
  </sheetViews>
  <sheetFormatPr baseColWidth="10" defaultRowHeight="16" x14ac:dyDescent="0.2"/>
  <cols>
    <col min="1" max="1" width="11.6640625" style="12" bestFit="1" customWidth="1"/>
    <col min="2" max="2" width="12.6640625" style="12" bestFit="1" customWidth="1"/>
    <col min="3" max="3" width="12.5" style="12" bestFit="1" customWidth="1"/>
    <col min="4" max="4" width="30.6640625" style="12" bestFit="1" customWidth="1"/>
    <col min="5" max="5" width="33.33203125" style="12" bestFit="1" customWidth="1"/>
    <col min="6" max="6" width="29.83203125" style="12" bestFit="1" customWidth="1"/>
    <col min="7" max="7" width="11.6640625" style="12" bestFit="1" customWidth="1"/>
    <col min="8" max="8" width="16.6640625" style="12" bestFit="1" customWidth="1"/>
    <col min="9" max="9" width="10" style="12" bestFit="1" customWidth="1"/>
    <col min="10" max="10" width="10.83203125" style="12" bestFit="1" customWidth="1"/>
    <col min="11" max="11" width="9.1640625" style="12" bestFit="1" customWidth="1"/>
    <col min="12" max="12" width="12.33203125" style="12" bestFit="1" customWidth="1"/>
    <col min="13" max="13" width="29.33203125" style="12" bestFit="1" customWidth="1"/>
    <col min="14" max="14" width="20.5" style="12" bestFit="1" customWidth="1"/>
    <col min="15" max="16384" width="10.83203125" style="12"/>
  </cols>
  <sheetData>
    <row r="1" spans="1:14" x14ac:dyDescent="0.2">
      <c r="A1" s="13" t="s">
        <v>540</v>
      </c>
      <c r="B1" s="13" t="s">
        <v>541</v>
      </c>
      <c r="C1" s="13" t="s">
        <v>542</v>
      </c>
      <c r="D1" s="13" t="s">
        <v>298</v>
      </c>
      <c r="E1" s="13" t="s">
        <v>297</v>
      </c>
      <c r="F1" s="13" t="s">
        <v>3</v>
      </c>
      <c r="G1" s="13" t="s">
        <v>523</v>
      </c>
      <c r="H1" s="13" t="s">
        <v>525</v>
      </c>
      <c r="I1" s="13" t="s">
        <v>543</v>
      </c>
      <c r="J1" s="13" t="s">
        <v>544</v>
      </c>
      <c r="K1" s="13" t="s">
        <v>545</v>
      </c>
      <c r="L1" s="13" t="s">
        <v>546</v>
      </c>
      <c r="M1" s="13" t="s">
        <v>547</v>
      </c>
      <c r="N1" s="13" t="s">
        <v>548</v>
      </c>
    </row>
    <row r="2" spans="1:14" x14ac:dyDescent="0.2">
      <c r="A2" s="3" t="s">
        <v>549</v>
      </c>
      <c r="B2" s="3" t="s">
        <v>558</v>
      </c>
      <c r="C2" s="3" t="s">
        <v>559</v>
      </c>
      <c r="D2" s="3" t="s">
        <v>307</v>
      </c>
      <c r="E2" s="3" t="s">
        <v>14</v>
      </c>
      <c r="F2" s="3" t="s">
        <v>15</v>
      </c>
      <c r="G2" s="3">
        <v>25</v>
      </c>
      <c r="H2" s="3">
        <v>44</v>
      </c>
      <c r="I2" s="3">
        <v>25</v>
      </c>
      <c r="J2" s="3">
        <v>0</v>
      </c>
      <c r="K2" s="3" t="str">
        <f>IF(J2=0,"Complete","Hold")</f>
        <v>Complete</v>
      </c>
      <c r="L2" s="3" t="s">
        <v>560</v>
      </c>
      <c r="M2" s="3" t="s">
        <v>561</v>
      </c>
      <c r="N2" s="14">
        <v>46190</v>
      </c>
    </row>
    <row r="3" spans="1:14" x14ac:dyDescent="0.2">
      <c r="A3" s="3" t="s">
        <v>549</v>
      </c>
      <c r="B3" s="3" t="s">
        <v>558</v>
      </c>
      <c r="C3" s="3" t="s">
        <v>559</v>
      </c>
      <c r="D3" s="3" t="s">
        <v>307</v>
      </c>
      <c r="E3" s="3" t="s">
        <v>14</v>
      </c>
      <c r="F3" s="3" t="s">
        <v>18</v>
      </c>
      <c r="G3" s="3">
        <v>25</v>
      </c>
      <c r="H3" s="3">
        <v>36</v>
      </c>
      <c r="I3" s="3">
        <v>25</v>
      </c>
      <c r="J3" s="3">
        <v>0</v>
      </c>
      <c r="K3" s="3" t="str">
        <f t="shared" ref="K3:K66" si="0">IF(J3=0,"Complete","Hold")</f>
        <v>Complete</v>
      </c>
      <c r="L3" s="3" t="s">
        <v>560</v>
      </c>
      <c r="M3" s="3" t="s">
        <v>561</v>
      </c>
      <c r="N3" s="14">
        <v>46190</v>
      </c>
    </row>
    <row r="4" spans="1:14" x14ac:dyDescent="0.2">
      <c r="A4" s="3" t="s">
        <v>549</v>
      </c>
      <c r="B4" s="3" t="s">
        <v>558</v>
      </c>
      <c r="C4" s="3" t="s">
        <v>559</v>
      </c>
      <c r="D4" s="3" t="s">
        <v>308</v>
      </c>
      <c r="E4" s="3" t="s">
        <v>14</v>
      </c>
      <c r="F4" s="3" t="s">
        <v>19</v>
      </c>
      <c r="G4" s="3">
        <v>100</v>
      </c>
      <c r="H4" s="3">
        <v>110</v>
      </c>
      <c r="I4" s="3">
        <v>100</v>
      </c>
      <c r="J4" s="3">
        <v>0</v>
      </c>
      <c r="K4" s="3" t="str">
        <f t="shared" si="0"/>
        <v>Complete</v>
      </c>
      <c r="L4" s="3" t="s">
        <v>560</v>
      </c>
      <c r="M4" s="3" t="s">
        <v>561</v>
      </c>
      <c r="N4" s="14">
        <v>46190</v>
      </c>
    </row>
    <row r="5" spans="1:14" x14ac:dyDescent="0.2">
      <c r="A5" s="3" t="s">
        <v>549</v>
      </c>
      <c r="B5" s="3" t="s">
        <v>558</v>
      </c>
      <c r="C5" s="3" t="s">
        <v>559</v>
      </c>
      <c r="D5" s="3" t="s">
        <v>309</v>
      </c>
      <c r="E5" s="3" t="s">
        <v>14</v>
      </c>
      <c r="F5" s="3" t="s">
        <v>42</v>
      </c>
      <c r="G5" s="3">
        <v>25</v>
      </c>
      <c r="H5" s="3">
        <v>27</v>
      </c>
      <c r="I5" s="3">
        <v>25</v>
      </c>
      <c r="J5" s="3">
        <v>0</v>
      </c>
      <c r="K5" s="3" t="str">
        <f t="shared" si="0"/>
        <v>Complete</v>
      </c>
      <c r="L5" s="3" t="s">
        <v>560</v>
      </c>
      <c r="M5" s="3" t="s">
        <v>561</v>
      </c>
      <c r="N5" s="14">
        <v>46190</v>
      </c>
    </row>
    <row r="6" spans="1:14" x14ac:dyDescent="0.2">
      <c r="A6" s="3" t="s">
        <v>549</v>
      </c>
      <c r="B6" s="3" t="s">
        <v>558</v>
      </c>
      <c r="C6" s="3" t="s">
        <v>559</v>
      </c>
      <c r="D6" s="3" t="s">
        <v>309</v>
      </c>
      <c r="E6" s="3" t="s">
        <v>14</v>
      </c>
      <c r="F6" s="3" t="s">
        <v>43</v>
      </c>
      <c r="G6" s="3">
        <v>100</v>
      </c>
      <c r="H6" s="3">
        <v>151</v>
      </c>
      <c r="I6" s="3">
        <v>100</v>
      </c>
      <c r="J6" s="3">
        <v>0</v>
      </c>
      <c r="K6" s="3" t="str">
        <f t="shared" si="0"/>
        <v>Complete</v>
      </c>
      <c r="L6" s="3" t="s">
        <v>560</v>
      </c>
      <c r="M6" s="3" t="s">
        <v>561</v>
      </c>
      <c r="N6" s="14">
        <v>46190</v>
      </c>
    </row>
    <row r="7" spans="1:14" x14ac:dyDescent="0.2">
      <c r="A7" s="3" t="s">
        <v>549</v>
      </c>
      <c r="B7" s="3" t="s">
        <v>558</v>
      </c>
      <c r="C7" s="3" t="s">
        <v>559</v>
      </c>
      <c r="D7" s="3" t="s">
        <v>309</v>
      </c>
      <c r="E7" s="3" t="s">
        <v>14</v>
      </c>
      <c r="F7" s="3" t="s">
        <v>44</v>
      </c>
      <c r="G7" s="3">
        <v>25</v>
      </c>
      <c r="H7" s="3">
        <v>44</v>
      </c>
      <c r="I7" s="3">
        <v>25</v>
      </c>
      <c r="J7" s="3">
        <v>0</v>
      </c>
      <c r="K7" s="3" t="str">
        <f t="shared" si="0"/>
        <v>Complete</v>
      </c>
      <c r="L7" s="3" t="s">
        <v>560</v>
      </c>
      <c r="M7" s="3" t="s">
        <v>561</v>
      </c>
      <c r="N7" s="14">
        <v>46190</v>
      </c>
    </row>
    <row r="8" spans="1:14" x14ac:dyDescent="0.2">
      <c r="A8" s="3" t="s">
        <v>549</v>
      </c>
      <c r="B8" s="3" t="s">
        <v>558</v>
      </c>
      <c r="C8" s="3" t="s">
        <v>559</v>
      </c>
      <c r="D8" s="3" t="s">
        <v>310</v>
      </c>
      <c r="E8" s="3" t="s">
        <v>14</v>
      </c>
      <c r="F8" s="3" t="s">
        <v>46</v>
      </c>
      <c r="G8" s="3">
        <v>400</v>
      </c>
      <c r="H8" s="3">
        <v>260</v>
      </c>
      <c r="I8" s="3">
        <v>260</v>
      </c>
      <c r="J8" s="3">
        <v>140</v>
      </c>
      <c r="K8" s="3" t="str">
        <f t="shared" si="0"/>
        <v>Hold</v>
      </c>
      <c r="L8" s="3" t="s">
        <v>560</v>
      </c>
      <c r="M8" s="3" t="s">
        <v>562</v>
      </c>
      <c r="N8" s="14">
        <v>46190</v>
      </c>
    </row>
    <row r="9" spans="1:14" x14ac:dyDescent="0.2">
      <c r="A9" s="3" t="s">
        <v>549</v>
      </c>
      <c r="B9" s="3" t="s">
        <v>558</v>
      </c>
      <c r="C9" s="3" t="s">
        <v>559</v>
      </c>
      <c r="D9" s="3" t="s">
        <v>310</v>
      </c>
      <c r="E9" s="3" t="s">
        <v>14</v>
      </c>
      <c r="F9" s="3" t="s">
        <v>48</v>
      </c>
      <c r="G9" s="3">
        <v>25</v>
      </c>
      <c r="H9" s="3">
        <v>38</v>
      </c>
      <c r="I9" s="3">
        <v>25</v>
      </c>
      <c r="J9" s="3">
        <v>0</v>
      </c>
      <c r="K9" s="3" t="str">
        <f t="shared" si="0"/>
        <v>Complete</v>
      </c>
      <c r="L9" s="3" t="s">
        <v>560</v>
      </c>
      <c r="M9" s="3" t="s">
        <v>561</v>
      </c>
      <c r="N9" s="14">
        <v>46190</v>
      </c>
    </row>
    <row r="10" spans="1:14" x14ac:dyDescent="0.2">
      <c r="A10" s="3" t="s">
        <v>549</v>
      </c>
      <c r="B10" s="3" t="s">
        <v>558</v>
      </c>
      <c r="C10" s="3" t="s">
        <v>559</v>
      </c>
      <c r="D10" s="3" t="s">
        <v>311</v>
      </c>
      <c r="E10" s="3" t="s">
        <v>14</v>
      </c>
      <c r="F10" s="3" t="s">
        <v>49</v>
      </c>
      <c r="G10" s="3">
        <v>50</v>
      </c>
      <c r="H10" s="3">
        <v>55</v>
      </c>
      <c r="I10" s="3">
        <v>50</v>
      </c>
      <c r="J10" s="3">
        <v>0</v>
      </c>
      <c r="K10" s="3" t="str">
        <f t="shared" si="0"/>
        <v>Complete</v>
      </c>
      <c r="L10" s="3" t="s">
        <v>560</v>
      </c>
      <c r="M10" s="3" t="s">
        <v>561</v>
      </c>
      <c r="N10" s="14">
        <v>46190</v>
      </c>
    </row>
    <row r="11" spans="1:14" x14ac:dyDescent="0.2">
      <c r="A11" s="3" t="s">
        <v>549</v>
      </c>
      <c r="B11" s="3" t="s">
        <v>558</v>
      </c>
      <c r="C11" s="3" t="s">
        <v>559</v>
      </c>
      <c r="D11" s="3" t="s">
        <v>311</v>
      </c>
      <c r="E11" s="3" t="s">
        <v>14</v>
      </c>
      <c r="F11" s="3" t="s">
        <v>50</v>
      </c>
      <c r="G11" s="3">
        <v>25</v>
      </c>
      <c r="H11" s="3">
        <v>42</v>
      </c>
      <c r="I11" s="3">
        <v>25</v>
      </c>
      <c r="J11" s="3">
        <v>0</v>
      </c>
      <c r="K11" s="3" t="str">
        <f t="shared" si="0"/>
        <v>Complete</v>
      </c>
      <c r="L11" s="3" t="s">
        <v>560</v>
      </c>
      <c r="M11" s="3" t="s">
        <v>561</v>
      </c>
      <c r="N11" s="14">
        <v>46190</v>
      </c>
    </row>
    <row r="12" spans="1:14" x14ac:dyDescent="0.2">
      <c r="A12" s="3" t="s">
        <v>549</v>
      </c>
      <c r="B12" s="3" t="s">
        <v>558</v>
      </c>
      <c r="C12" s="3" t="s">
        <v>559</v>
      </c>
      <c r="D12" s="3" t="s">
        <v>311</v>
      </c>
      <c r="E12" s="3" t="s">
        <v>14</v>
      </c>
      <c r="F12" s="3" t="s">
        <v>51</v>
      </c>
      <c r="G12" s="3">
        <v>25</v>
      </c>
      <c r="H12" s="3">
        <v>44</v>
      </c>
      <c r="I12" s="3">
        <v>25</v>
      </c>
      <c r="J12" s="3">
        <v>0</v>
      </c>
      <c r="K12" s="3" t="str">
        <f t="shared" si="0"/>
        <v>Complete</v>
      </c>
      <c r="L12" s="3" t="s">
        <v>560</v>
      </c>
      <c r="M12" s="3" t="s">
        <v>561</v>
      </c>
      <c r="N12" s="14">
        <v>46190</v>
      </c>
    </row>
    <row r="13" spans="1:14" x14ac:dyDescent="0.2">
      <c r="A13" s="3" t="s">
        <v>549</v>
      </c>
      <c r="B13" s="3" t="s">
        <v>558</v>
      </c>
      <c r="C13" s="3" t="s">
        <v>559</v>
      </c>
      <c r="D13" s="3" t="s">
        <v>311</v>
      </c>
      <c r="E13" s="3" t="s">
        <v>14</v>
      </c>
      <c r="F13" s="3" t="s">
        <v>52</v>
      </c>
      <c r="G13" s="3">
        <v>25</v>
      </c>
      <c r="H13" s="3">
        <v>44</v>
      </c>
      <c r="I13" s="3">
        <v>25</v>
      </c>
      <c r="J13" s="3">
        <v>0</v>
      </c>
      <c r="K13" s="3" t="str">
        <f t="shared" si="0"/>
        <v>Complete</v>
      </c>
      <c r="L13" s="3" t="s">
        <v>560</v>
      </c>
      <c r="M13" s="3" t="s">
        <v>561</v>
      </c>
      <c r="N13" s="14">
        <v>46190</v>
      </c>
    </row>
    <row r="14" spans="1:14" x14ac:dyDescent="0.2">
      <c r="A14" s="3" t="s">
        <v>549</v>
      </c>
      <c r="B14" s="3" t="s">
        <v>558</v>
      </c>
      <c r="C14" s="3" t="s">
        <v>559</v>
      </c>
      <c r="D14" s="3" t="s">
        <v>312</v>
      </c>
      <c r="E14" s="3" t="s">
        <v>14</v>
      </c>
      <c r="F14" s="3" t="s">
        <v>53</v>
      </c>
      <c r="G14" s="3">
        <v>100</v>
      </c>
      <c r="H14" s="3">
        <v>65</v>
      </c>
      <c r="I14" s="3">
        <v>65</v>
      </c>
      <c r="J14" s="3">
        <v>35</v>
      </c>
      <c r="K14" s="3" t="str">
        <f t="shared" si="0"/>
        <v>Hold</v>
      </c>
      <c r="L14" s="3" t="s">
        <v>560</v>
      </c>
      <c r="M14" s="3" t="s">
        <v>562</v>
      </c>
      <c r="N14" s="14">
        <v>46190</v>
      </c>
    </row>
    <row r="15" spans="1:14" x14ac:dyDescent="0.2">
      <c r="A15" s="3" t="s">
        <v>549</v>
      </c>
      <c r="B15" s="3" t="s">
        <v>558</v>
      </c>
      <c r="C15" s="3" t="s">
        <v>559</v>
      </c>
      <c r="D15" s="3" t="s">
        <v>312</v>
      </c>
      <c r="E15" s="3" t="s">
        <v>14</v>
      </c>
      <c r="F15" s="3" t="s">
        <v>55</v>
      </c>
      <c r="G15" s="3">
        <v>25</v>
      </c>
      <c r="H15" s="3">
        <v>44</v>
      </c>
      <c r="I15" s="3">
        <v>25</v>
      </c>
      <c r="J15" s="3">
        <v>0</v>
      </c>
      <c r="K15" s="3" t="str">
        <f t="shared" si="0"/>
        <v>Complete</v>
      </c>
      <c r="L15" s="3" t="s">
        <v>560</v>
      </c>
      <c r="M15" s="3" t="s">
        <v>561</v>
      </c>
      <c r="N15" s="14">
        <v>46190</v>
      </c>
    </row>
    <row r="16" spans="1:14" x14ac:dyDescent="0.2">
      <c r="A16" s="3" t="s">
        <v>549</v>
      </c>
      <c r="B16" s="3" t="s">
        <v>558</v>
      </c>
      <c r="C16" s="3" t="s">
        <v>559</v>
      </c>
      <c r="D16" s="3" t="s">
        <v>312</v>
      </c>
      <c r="E16" s="3" t="s">
        <v>14</v>
      </c>
      <c r="F16" s="3" t="s">
        <v>56</v>
      </c>
      <c r="G16" s="3">
        <v>200</v>
      </c>
      <c r="H16" s="3">
        <v>130</v>
      </c>
      <c r="I16" s="3">
        <v>130</v>
      </c>
      <c r="J16" s="3">
        <v>70</v>
      </c>
      <c r="K16" s="3" t="str">
        <f t="shared" si="0"/>
        <v>Hold</v>
      </c>
      <c r="L16" s="3" t="s">
        <v>560</v>
      </c>
      <c r="M16" s="3" t="s">
        <v>563</v>
      </c>
      <c r="N16" s="14">
        <v>46190</v>
      </c>
    </row>
    <row r="17" spans="1:14" x14ac:dyDescent="0.2">
      <c r="A17" s="3" t="s">
        <v>549</v>
      </c>
      <c r="B17" s="3" t="s">
        <v>558</v>
      </c>
      <c r="C17" s="3" t="s">
        <v>559</v>
      </c>
      <c r="D17" s="3" t="s">
        <v>313</v>
      </c>
      <c r="E17" s="3" t="s">
        <v>14</v>
      </c>
      <c r="F17" s="3" t="s">
        <v>58</v>
      </c>
      <c r="G17" s="3">
        <v>25</v>
      </c>
      <c r="H17" s="3">
        <v>14</v>
      </c>
      <c r="I17" s="3">
        <v>14</v>
      </c>
      <c r="J17" s="3">
        <v>11</v>
      </c>
      <c r="K17" s="3" t="str">
        <f t="shared" si="0"/>
        <v>Hold</v>
      </c>
      <c r="L17" s="3" t="s">
        <v>560</v>
      </c>
      <c r="M17" s="3" t="s">
        <v>562</v>
      </c>
      <c r="N17" s="14">
        <v>46190</v>
      </c>
    </row>
    <row r="18" spans="1:14" x14ac:dyDescent="0.2">
      <c r="A18" s="3" t="s">
        <v>549</v>
      </c>
      <c r="B18" s="3" t="s">
        <v>558</v>
      </c>
      <c r="C18" s="3" t="s">
        <v>559</v>
      </c>
      <c r="D18" s="3" t="s">
        <v>314</v>
      </c>
      <c r="E18" s="3" t="s">
        <v>14</v>
      </c>
      <c r="F18" s="3" t="s">
        <v>60</v>
      </c>
      <c r="G18" s="3">
        <v>25</v>
      </c>
      <c r="H18" s="3">
        <v>43</v>
      </c>
      <c r="I18" s="3">
        <v>25</v>
      </c>
      <c r="J18" s="3">
        <v>0</v>
      </c>
      <c r="K18" s="3" t="str">
        <f t="shared" si="0"/>
        <v>Complete</v>
      </c>
      <c r="L18" s="3" t="s">
        <v>560</v>
      </c>
      <c r="M18" s="3" t="s">
        <v>561</v>
      </c>
      <c r="N18" s="14">
        <v>46190</v>
      </c>
    </row>
    <row r="19" spans="1:14" x14ac:dyDescent="0.2">
      <c r="A19" s="3" t="s">
        <v>549</v>
      </c>
      <c r="B19" s="3" t="s">
        <v>558</v>
      </c>
      <c r="C19" s="3" t="s">
        <v>559</v>
      </c>
      <c r="D19" s="3" t="s">
        <v>315</v>
      </c>
      <c r="E19" s="3" t="s">
        <v>14</v>
      </c>
      <c r="F19" s="3" t="s">
        <v>62</v>
      </c>
      <c r="G19" s="3">
        <v>25</v>
      </c>
      <c r="H19" s="3">
        <v>36</v>
      </c>
      <c r="I19" s="3">
        <v>25</v>
      </c>
      <c r="J19" s="3">
        <v>0</v>
      </c>
      <c r="K19" s="3" t="str">
        <f t="shared" si="0"/>
        <v>Complete</v>
      </c>
      <c r="L19" s="3" t="s">
        <v>533</v>
      </c>
      <c r="M19" s="3" t="s">
        <v>561</v>
      </c>
      <c r="N19" s="14">
        <v>46190</v>
      </c>
    </row>
    <row r="20" spans="1:14" x14ac:dyDescent="0.2">
      <c r="A20" s="3" t="s">
        <v>550</v>
      </c>
      <c r="B20" s="3" t="s">
        <v>558</v>
      </c>
      <c r="C20" s="3" t="s">
        <v>559</v>
      </c>
      <c r="D20" s="3" t="s">
        <v>316</v>
      </c>
      <c r="E20" s="3" t="s">
        <v>64</v>
      </c>
      <c r="F20" s="3" t="s">
        <v>66</v>
      </c>
      <c r="G20" s="3">
        <v>25</v>
      </c>
      <c r="H20" s="3">
        <v>19</v>
      </c>
      <c r="I20" s="3">
        <v>19</v>
      </c>
      <c r="J20" s="3">
        <v>6</v>
      </c>
      <c r="K20" s="3" t="str">
        <f t="shared" si="0"/>
        <v>Hold</v>
      </c>
      <c r="L20" s="3" t="s">
        <v>560</v>
      </c>
      <c r="M20" s="3" t="s">
        <v>564</v>
      </c>
      <c r="N20" s="14">
        <v>46191</v>
      </c>
    </row>
    <row r="21" spans="1:14" x14ac:dyDescent="0.2">
      <c r="A21" s="3" t="s">
        <v>550</v>
      </c>
      <c r="B21" s="3" t="s">
        <v>558</v>
      </c>
      <c r="C21" s="3" t="s">
        <v>559</v>
      </c>
      <c r="D21" s="3" t="s">
        <v>76</v>
      </c>
      <c r="E21" s="3" t="s">
        <v>64</v>
      </c>
      <c r="F21" s="3" t="s">
        <v>76</v>
      </c>
      <c r="G21" s="3">
        <v>25</v>
      </c>
      <c r="H21" s="3">
        <v>25</v>
      </c>
      <c r="I21" s="3">
        <v>25</v>
      </c>
      <c r="J21" s="3">
        <v>0</v>
      </c>
      <c r="K21" s="3" t="str">
        <f t="shared" si="0"/>
        <v>Complete</v>
      </c>
      <c r="L21" s="3" t="s">
        <v>560</v>
      </c>
      <c r="M21" s="3" t="s">
        <v>561</v>
      </c>
      <c r="N21" s="14">
        <v>46191</v>
      </c>
    </row>
    <row r="22" spans="1:14" x14ac:dyDescent="0.2">
      <c r="A22" s="3" t="s">
        <v>550</v>
      </c>
      <c r="B22" s="3" t="s">
        <v>558</v>
      </c>
      <c r="C22" s="3" t="s">
        <v>559</v>
      </c>
      <c r="D22" s="3" t="s">
        <v>317</v>
      </c>
      <c r="E22" s="3" t="s">
        <v>64</v>
      </c>
      <c r="F22" s="3" t="s">
        <v>83</v>
      </c>
      <c r="G22" s="3">
        <v>25</v>
      </c>
      <c r="H22" s="3">
        <v>40</v>
      </c>
      <c r="I22" s="3">
        <v>25</v>
      </c>
      <c r="J22" s="3">
        <v>0</v>
      </c>
      <c r="K22" s="3" t="str">
        <f t="shared" si="0"/>
        <v>Complete</v>
      </c>
      <c r="L22" s="3" t="s">
        <v>560</v>
      </c>
      <c r="M22" s="3" t="s">
        <v>561</v>
      </c>
      <c r="N22" s="14">
        <v>46191</v>
      </c>
    </row>
    <row r="23" spans="1:14" x14ac:dyDescent="0.2">
      <c r="A23" s="3" t="s">
        <v>550</v>
      </c>
      <c r="B23" s="3" t="s">
        <v>558</v>
      </c>
      <c r="C23" s="3" t="s">
        <v>559</v>
      </c>
      <c r="D23" s="3" t="s">
        <v>318</v>
      </c>
      <c r="E23" s="3" t="s">
        <v>64</v>
      </c>
      <c r="F23" s="3" t="s">
        <v>91</v>
      </c>
      <c r="G23" s="3">
        <v>50</v>
      </c>
      <c r="H23" s="3">
        <v>60</v>
      </c>
      <c r="I23" s="3">
        <v>50</v>
      </c>
      <c r="J23" s="3">
        <v>0</v>
      </c>
      <c r="K23" s="3" t="str">
        <f t="shared" si="0"/>
        <v>Complete</v>
      </c>
      <c r="L23" s="3" t="s">
        <v>560</v>
      </c>
      <c r="M23" s="3" t="s">
        <v>561</v>
      </c>
      <c r="N23" s="14">
        <v>46191</v>
      </c>
    </row>
    <row r="24" spans="1:14" x14ac:dyDescent="0.2">
      <c r="A24" s="3" t="s">
        <v>550</v>
      </c>
      <c r="B24" s="3" t="s">
        <v>558</v>
      </c>
      <c r="C24" s="3" t="s">
        <v>559</v>
      </c>
      <c r="D24" s="3" t="s">
        <v>319</v>
      </c>
      <c r="E24" s="3" t="s">
        <v>64</v>
      </c>
      <c r="F24" s="3" t="s">
        <v>92</v>
      </c>
      <c r="G24" s="3">
        <v>25</v>
      </c>
      <c r="H24" s="3">
        <v>40</v>
      </c>
      <c r="I24" s="3">
        <v>25</v>
      </c>
      <c r="J24" s="3">
        <v>0</v>
      </c>
      <c r="K24" s="3" t="str">
        <f t="shared" si="0"/>
        <v>Complete</v>
      </c>
      <c r="L24" s="3" t="s">
        <v>560</v>
      </c>
      <c r="M24" s="3" t="s">
        <v>561</v>
      </c>
      <c r="N24" s="14">
        <v>46191</v>
      </c>
    </row>
    <row r="25" spans="1:14" x14ac:dyDescent="0.2">
      <c r="A25" s="3" t="s">
        <v>551</v>
      </c>
      <c r="B25" s="3" t="s">
        <v>558</v>
      </c>
      <c r="C25" s="3" t="s">
        <v>559</v>
      </c>
      <c r="D25" s="3" t="s">
        <v>320</v>
      </c>
      <c r="E25" s="3" t="s">
        <v>93</v>
      </c>
      <c r="F25" s="3" t="s">
        <v>95</v>
      </c>
      <c r="G25" s="3">
        <v>25</v>
      </c>
      <c r="H25" s="3">
        <v>24</v>
      </c>
      <c r="I25" s="3">
        <v>24</v>
      </c>
      <c r="J25" s="3">
        <v>1</v>
      </c>
      <c r="K25" s="3" t="str">
        <f t="shared" si="0"/>
        <v>Hold</v>
      </c>
      <c r="L25" s="3" t="s">
        <v>560</v>
      </c>
      <c r="M25" s="3" t="s">
        <v>562</v>
      </c>
      <c r="N25" s="14">
        <v>46191</v>
      </c>
    </row>
    <row r="26" spans="1:14" x14ac:dyDescent="0.2">
      <c r="A26" s="3" t="s">
        <v>551</v>
      </c>
      <c r="B26" s="3" t="s">
        <v>558</v>
      </c>
      <c r="C26" s="3" t="s">
        <v>559</v>
      </c>
      <c r="D26" s="3" t="s">
        <v>321</v>
      </c>
      <c r="E26" s="3" t="s">
        <v>93</v>
      </c>
      <c r="F26" s="3" t="s">
        <v>97</v>
      </c>
      <c r="G26" s="3">
        <v>25</v>
      </c>
      <c r="H26" s="3">
        <v>39</v>
      </c>
      <c r="I26" s="3">
        <v>25</v>
      </c>
      <c r="J26" s="3">
        <v>0</v>
      </c>
      <c r="K26" s="3" t="str">
        <f t="shared" si="0"/>
        <v>Complete</v>
      </c>
      <c r="L26" s="3" t="s">
        <v>560</v>
      </c>
      <c r="M26" s="3" t="s">
        <v>561</v>
      </c>
      <c r="N26" s="14">
        <v>46191</v>
      </c>
    </row>
    <row r="27" spans="1:14" x14ac:dyDescent="0.2">
      <c r="A27" s="3" t="s">
        <v>551</v>
      </c>
      <c r="B27" s="3" t="s">
        <v>558</v>
      </c>
      <c r="C27" s="3" t="s">
        <v>559</v>
      </c>
      <c r="D27" s="3" t="s">
        <v>320</v>
      </c>
      <c r="E27" s="3" t="s">
        <v>93</v>
      </c>
      <c r="F27" s="3" t="s">
        <v>98</v>
      </c>
      <c r="G27" s="3">
        <v>25</v>
      </c>
      <c r="H27" s="3">
        <v>39</v>
      </c>
      <c r="I27" s="3">
        <v>25</v>
      </c>
      <c r="J27" s="3">
        <v>0</v>
      </c>
      <c r="K27" s="3" t="str">
        <f t="shared" si="0"/>
        <v>Complete</v>
      </c>
      <c r="L27" s="3" t="s">
        <v>560</v>
      </c>
      <c r="M27" s="3" t="s">
        <v>561</v>
      </c>
      <c r="N27" s="14">
        <v>46191</v>
      </c>
    </row>
    <row r="28" spans="1:14" x14ac:dyDescent="0.2">
      <c r="A28" s="3" t="s">
        <v>551</v>
      </c>
      <c r="B28" s="3" t="s">
        <v>558</v>
      </c>
      <c r="C28" s="3" t="s">
        <v>559</v>
      </c>
      <c r="D28" s="3" t="s">
        <v>320</v>
      </c>
      <c r="E28" s="3" t="s">
        <v>93</v>
      </c>
      <c r="F28" s="3" t="s">
        <v>99</v>
      </c>
      <c r="G28" s="3">
        <v>25</v>
      </c>
      <c r="H28" s="3">
        <v>39</v>
      </c>
      <c r="I28" s="3">
        <v>25</v>
      </c>
      <c r="J28" s="3">
        <v>0</v>
      </c>
      <c r="K28" s="3" t="str">
        <f t="shared" si="0"/>
        <v>Complete</v>
      </c>
      <c r="L28" s="3" t="s">
        <v>533</v>
      </c>
      <c r="M28" s="3" t="s">
        <v>561</v>
      </c>
      <c r="N28" s="14">
        <v>46191</v>
      </c>
    </row>
    <row r="29" spans="1:14" x14ac:dyDescent="0.2">
      <c r="A29" s="3" t="s">
        <v>551</v>
      </c>
      <c r="B29" s="3" t="s">
        <v>558</v>
      </c>
      <c r="C29" s="3" t="s">
        <v>559</v>
      </c>
      <c r="D29" s="3" t="s">
        <v>322</v>
      </c>
      <c r="E29" s="3" t="s">
        <v>93</v>
      </c>
      <c r="F29" s="3" t="s">
        <v>100</v>
      </c>
      <c r="G29" s="3">
        <v>25</v>
      </c>
      <c r="H29" s="3">
        <v>40</v>
      </c>
      <c r="I29" s="3">
        <v>25</v>
      </c>
      <c r="J29" s="3">
        <v>0</v>
      </c>
      <c r="K29" s="3" t="str">
        <f t="shared" si="0"/>
        <v>Complete</v>
      </c>
      <c r="L29" s="3" t="s">
        <v>560</v>
      </c>
      <c r="M29" s="3" t="s">
        <v>561</v>
      </c>
      <c r="N29" s="14">
        <v>46191</v>
      </c>
    </row>
    <row r="30" spans="1:14" x14ac:dyDescent="0.2">
      <c r="A30" s="3" t="s">
        <v>551</v>
      </c>
      <c r="B30" s="3" t="s">
        <v>558</v>
      </c>
      <c r="C30" s="3" t="s">
        <v>559</v>
      </c>
      <c r="D30" s="3" t="s">
        <v>322</v>
      </c>
      <c r="E30" s="3" t="s">
        <v>93</v>
      </c>
      <c r="F30" s="3" t="s">
        <v>101</v>
      </c>
      <c r="G30" s="3">
        <v>25</v>
      </c>
      <c r="H30" s="3">
        <v>40</v>
      </c>
      <c r="I30" s="3">
        <v>25</v>
      </c>
      <c r="J30" s="3">
        <v>0</v>
      </c>
      <c r="K30" s="3" t="str">
        <f t="shared" si="0"/>
        <v>Complete</v>
      </c>
      <c r="L30" s="3" t="s">
        <v>560</v>
      </c>
      <c r="M30" s="3" t="s">
        <v>561</v>
      </c>
      <c r="N30" s="14">
        <v>46191</v>
      </c>
    </row>
    <row r="31" spans="1:14" x14ac:dyDescent="0.2">
      <c r="A31" s="3" t="s">
        <v>551</v>
      </c>
      <c r="B31" s="3" t="s">
        <v>558</v>
      </c>
      <c r="C31" s="3" t="s">
        <v>559</v>
      </c>
      <c r="D31" s="3" t="s">
        <v>323</v>
      </c>
      <c r="E31" s="3" t="s">
        <v>93</v>
      </c>
      <c r="F31" s="3" t="s">
        <v>102</v>
      </c>
      <c r="G31" s="3">
        <v>25</v>
      </c>
      <c r="H31" s="3">
        <v>40</v>
      </c>
      <c r="I31" s="3">
        <v>25</v>
      </c>
      <c r="J31" s="3">
        <v>0</v>
      </c>
      <c r="K31" s="3" t="str">
        <f t="shared" si="0"/>
        <v>Complete</v>
      </c>
      <c r="L31" s="3" t="s">
        <v>560</v>
      </c>
      <c r="M31" s="3" t="s">
        <v>561</v>
      </c>
      <c r="N31" s="14">
        <v>46191</v>
      </c>
    </row>
    <row r="32" spans="1:14" x14ac:dyDescent="0.2">
      <c r="A32" s="3" t="s">
        <v>551</v>
      </c>
      <c r="B32" s="3" t="s">
        <v>558</v>
      </c>
      <c r="C32" s="3" t="s">
        <v>559</v>
      </c>
      <c r="D32" s="3" t="s">
        <v>323</v>
      </c>
      <c r="E32" s="3" t="s">
        <v>93</v>
      </c>
      <c r="F32" s="3" t="s">
        <v>103</v>
      </c>
      <c r="G32" s="3">
        <v>25</v>
      </c>
      <c r="H32" s="3">
        <v>32</v>
      </c>
      <c r="I32" s="3">
        <v>25</v>
      </c>
      <c r="J32" s="3">
        <v>0</v>
      </c>
      <c r="K32" s="3" t="str">
        <f t="shared" si="0"/>
        <v>Complete</v>
      </c>
      <c r="L32" s="3" t="s">
        <v>560</v>
      </c>
      <c r="M32" s="3" t="s">
        <v>561</v>
      </c>
      <c r="N32" s="14">
        <v>46191</v>
      </c>
    </row>
    <row r="33" spans="1:14" x14ac:dyDescent="0.2">
      <c r="A33" s="3" t="s">
        <v>551</v>
      </c>
      <c r="B33" s="3" t="s">
        <v>558</v>
      </c>
      <c r="C33" s="3" t="s">
        <v>559</v>
      </c>
      <c r="D33" s="3" t="s">
        <v>323</v>
      </c>
      <c r="E33" s="3" t="s">
        <v>93</v>
      </c>
      <c r="F33" s="3" t="s">
        <v>104</v>
      </c>
      <c r="G33" s="3">
        <v>25</v>
      </c>
      <c r="H33" s="3">
        <v>40</v>
      </c>
      <c r="I33" s="3">
        <v>25</v>
      </c>
      <c r="J33" s="3">
        <v>0</v>
      </c>
      <c r="K33" s="3" t="str">
        <f t="shared" si="0"/>
        <v>Complete</v>
      </c>
      <c r="L33" s="3" t="s">
        <v>560</v>
      </c>
      <c r="M33" s="3" t="s">
        <v>561</v>
      </c>
      <c r="N33" s="14">
        <v>46191</v>
      </c>
    </row>
    <row r="34" spans="1:14" x14ac:dyDescent="0.2">
      <c r="A34" s="3" t="s">
        <v>552</v>
      </c>
      <c r="B34" s="3" t="s">
        <v>558</v>
      </c>
      <c r="C34" s="3" t="s">
        <v>559</v>
      </c>
      <c r="D34" s="3" t="s">
        <v>324</v>
      </c>
      <c r="E34" s="3" t="s">
        <v>105</v>
      </c>
      <c r="F34" s="3" t="s">
        <v>107</v>
      </c>
      <c r="G34" s="3">
        <v>25</v>
      </c>
      <c r="H34" s="3">
        <v>46</v>
      </c>
      <c r="I34" s="3">
        <v>25</v>
      </c>
      <c r="J34" s="3">
        <v>0</v>
      </c>
      <c r="K34" s="3" t="str">
        <f t="shared" si="0"/>
        <v>Complete</v>
      </c>
      <c r="L34" s="3" t="s">
        <v>560</v>
      </c>
      <c r="M34" s="3" t="s">
        <v>561</v>
      </c>
      <c r="N34" s="14">
        <v>46192</v>
      </c>
    </row>
    <row r="35" spans="1:14" x14ac:dyDescent="0.2">
      <c r="A35" s="3" t="s">
        <v>552</v>
      </c>
      <c r="B35" s="3" t="s">
        <v>558</v>
      </c>
      <c r="C35" s="3" t="s">
        <v>559</v>
      </c>
      <c r="D35" s="3" t="s">
        <v>325</v>
      </c>
      <c r="E35" s="3" t="s">
        <v>105</v>
      </c>
      <c r="F35" s="3" t="s">
        <v>108</v>
      </c>
      <c r="G35" s="3">
        <v>25</v>
      </c>
      <c r="H35" s="3">
        <v>37</v>
      </c>
      <c r="I35" s="3">
        <v>25</v>
      </c>
      <c r="J35" s="3">
        <v>0</v>
      </c>
      <c r="K35" s="3" t="str">
        <f t="shared" si="0"/>
        <v>Complete</v>
      </c>
      <c r="L35" s="3" t="s">
        <v>560</v>
      </c>
      <c r="M35" s="3" t="s">
        <v>561</v>
      </c>
      <c r="N35" s="14">
        <v>46192</v>
      </c>
    </row>
    <row r="36" spans="1:14" x14ac:dyDescent="0.2">
      <c r="A36" s="3" t="s">
        <v>552</v>
      </c>
      <c r="B36" s="3" t="s">
        <v>558</v>
      </c>
      <c r="C36" s="3" t="s">
        <v>559</v>
      </c>
      <c r="D36" s="3" t="s">
        <v>326</v>
      </c>
      <c r="E36" s="3" t="s">
        <v>105</v>
      </c>
      <c r="F36" s="3" t="s">
        <v>109</v>
      </c>
      <c r="G36" s="3">
        <v>25</v>
      </c>
      <c r="H36" s="3">
        <v>37</v>
      </c>
      <c r="I36" s="3">
        <v>25</v>
      </c>
      <c r="J36" s="3">
        <v>0</v>
      </c>
      <c r="K36" s="3" t="str">
        <f t="shared" si="0"/>
        <v>Complete</v>
      </c>
      <c r="L36" s="3" t="s">
        <v>560</v>
      </c>
      <c r="M36" s="3" t="s">
        <v>561</v>
      </c>
      <c r="N36" s="14">
        <v>46192</v>
      </c>
    </row>
    <row r="37" spans="1:14" x14ac:dyDescent="0.2">
      <c r="A37" s="3" t="s">
        <v>552</v>
      </c>
      <c r="B37" s="3" t="s">
        <v>558</v>
      </c>
      <c r="C37" s="3" t="s">
        <v>559</v>
      </c>
      <c r="D37" s="3" t="s">
        <v>327</v>
      </c>
      <c r="E37" s="3" t="s">
        <v>105</v>
      </c>
      <c r="F37" s="3" t="s">
        <v>110</v>
      </c>
      <c r="G37" s="3">
        <v>100</v>
      </c>
      <c r="H37" s="3">
        <v>135</v>
      </c>
      <c r="I37" s="3">
        <v>100</v>
      </c>
      <c r="J37" s="3">
        <v>0</v>
      </c>
      <c r="K37" s="3" t="str">
        <f t="shared" si="0"/>
        <v>Complete</v>
      </c>
      <c r="L37" s="3" t="s">
        <v>560</v>
      </c>
      <c r="M37" s="3" t="s">
        <v>561</v>
      </c>
      <c r="N37" s="14">
        <v>46192</v>
      </c>
    </row>
    <row r="38" spans="1:14" x14ac:dyDescent="0.2">
      <c r="A38" s="3" t="s">
        <v>552</v>
      </c>
      <c r="B38" s="3" t="s">
        <v>558</v>
      </c>
      <c r="C38" s="3" t="s">
        <v>559</v>
      </c>
      <c r="D38" s="3" t="s">
        <v>328</v>
      </c>
      <c r="E38" s="3" t="s">
        <v>105</v>
      </c>
      <c r="F38" s="3" t="s">
        <v>111</v>
      </c>
      <c r="G38" s="3">
        <v>25</v>
      </c>
      <c r="H38" s="3">
        <v>36</v>
      </c>
      <c r="I38" s="3">
        <v>25</v>
      </c>
      <c r="J38" s="3">
        <v>0</v>
      </c>
      <c r="K38" s="3" t="str">
        <f t="shared" si="0"/>
        <v>Complete</v>
      </c>
      <c r="L38" s="3" t="s">
        <v>560</v>
      </c>
      <c r="M38" s="3" t="s">
        <v>561</v>
      </c>
      <c r="N38" s="14">
        <v>46192</v>
      </c>
    </row>
    <row r="39" spans="1:14" x14ac:dyDescent="0.2">
      <c r="A39" s="3" t="s">
        <v>552</v>
      </c>
      <c r="B39" s="3" t="s">
        <v>558</v>
      </c>
      <c r="C39" s="3" t="s">
        <v>559</v>
      </c>
      <c r="D39" s="3" t="s">
        <v>329</v>
      </c>
      <c r="E39" s="3" t="s">
        <v>105</v>
      </c>
      <c r="F39" s="3" t="s">
        <v>112</v>
      </c>
      <c r="G39" s="3">
        <v>25</v>
      </c>
      <c r="H39" s="3">
        <v>40</v>
      </c>
      <c r="I39" s="3">
        <v>25</v>
      </c>
      <c r="J39" s="3">
        <v>0</v>
      </c>
      <c r="K39" s="3" t="str">
        <f t="shared" si="0"/>
        <v>Complete</v>
      </c>
      <c r="L39" s="3" t="s">
        <v>560</v>
      </c>
      <c r="M39" s="3" t="s">
        <v>561</v>
      </c>
      <c r="N39" s="14">
        <v>46192</v>
      </c>
    </row>
    <row r="40" spans="1:14" x14ac:dyDescent="0.2">
      <c r="A40" s="3" t="s">
        <v>552</v>
      </c>
      <c r="B40" s="3" t="s">
        <v>558</v>
      </c>
      <c r="C40" s="3" t="s">
        <v>559</v>
      </c>
      <c r="D40" s="3" t="s">
        <v>329</v>
      </c>
      <c r="E40" s="3" t="s">
        <v>105</v>
      </c>
      <c r="F40" s="3" t="s">
        <v>113</v>
      </c>
      <c r="G40" s="3">
        <v>25</v>
      </c>
      <c r="H40" s="3">
        <v>40</v>
      </c>
      <c r="I40" s="3">
        <v>25</v>
      </c>
      <c r="J40" s="3">
        <v>0</v>
      </c>
      <c r="K40" s="3" t="str">
        <f t="shared" si="0"/>
        <v>Complete</v>
      </c>
      <c r="L40" s="3" t="s">
        <v>560</v>
      </c>
      <c r="M40" s="3" t="s">
        <v>561</v>
      </c>
      <c r="N40" s="14">
        <v>46192</v>
      </c>
    </row>
    <row r="41" spans="1:14" x14ac:dyDescent="0.2">
      <c r="A41" s="3" t="s">
        <v>552</v>
      </c>
      <c r="B41" s="3" t="s">
        <v>558</v>
      </c>
      <c r="C41" s="3" t="s">
        <v>559</v>
      </c>
      <c r="D41" s="3" t="s">
        <v>330</v>
      </c>
      <c r="E41" s="3" t="s">
        <v>105</v>
      </c>
      <c r="F41" s="3" t="s">
        <v>114</v>
      </c>
      <c r="G41" s="3">
        <v>25</v>
      </c>
      <c r="H41" s="3">
        <v>42</v>
      </c>
      <c r="I41" s="3">
        <v>25</v>
      </c>
      <c r="J41" s="3">
        <v>0</v>
      </c>
      <c r="K41" s="3" t="str">
        <f t="shared" si="0"/>
        <v>Complete</v>
      </c>
      <c r="L41" s="3" t="s">
        <v>560</v>
      </c>
      <c r="M41" s="3" t="s">
        <v>561</v>
      </c>
      <c r="N41" s="14">
        <v>46192</v>
      </c>
    </row>
    <row r="42" spans="1:14" x14ac:dyDescent="0.2">
      <c r="A42" s="3" t="s">
        <v>552</v>
      </c>
      <c r="B42" s="3" t="s">
        <v>558</v>
      </c>
      <c r="C42" s="3" t="s">
        <v>559</v>
      </c>
      <c r="D42" s="3" t="s">
        <v>331</v>
      </c>
      <c r="E42" s="3" t="s">
        <v>105</v>
      </c>
      <c r="F42" s="3" t="s">
        <v>115</v>
      </c>
      <c r="G42" s="3">
        <v>25</v>
      </c>
      <c r="H42" s="3">
        <v>42</v>
      </c>
      <c r="I42" s="3">
        <v>25</v>
      </c>
      <c r="J42" s="3">
        <v>0</v>
      </c>
      <c r="K42" s="3" t="str">
        <f t="shared" si="0"/>
        <v>Complete</v>
      </c>
      <c r="L42" s="3" t="s">
        <v>560</v>
      </c>
      <c r="M42" s="3" t="s">
        <v>561</v>
      </c>
      <c r="N42" s="14">
        <v>46192</v>
      </c>
    </row>
    <row r="43" spans="1:14" x14ac:dyDescent="0.2">
      <c r="A43" s="3" t="s">
        <v>552</v>
      </c>
      <c r="B43" s="3" t="s">
        <v>558</v>
      </c>
      <c r="C43" s="3" t="s">
        <v>559</v>
      </c>
      <c r="D43" s="3" t="s">
        <v>332</v>
      </c>
      <c r="E43" s="3" t="s">
        <v>105</v>
      </c>
      <c r="F43" s="3" t="s">
        <v>116</v>
      </c>
      <c r="G43" s="3">
        <v>25</v>
      </c>
      <c r="H43" s="3">
        <v>42</v>
      </c>
      <c r="I43" s="3">
        <v>25</v>
      </c>
      <c r="J43" s="3">
        <v>0</v>
      </c>
      <c r="K43" s="3" t="str">
        <f t="shared" si="0"/>
        <v>Complete</v>
      </c>
      <c r="L43" s="3" t="s">
        <v>533</v>
      </c>
      <c r="M43" s="3" t="s">
        <v>561</v>
      </c>
      <c r="N43" s="14">
        <v>46192</v>
      </c>
    </row>
    <row r="44" spans="1:14" x14ac:dyDescent="0.2">
      <c r="A44" s="3" t="s">
        <v>553</v>
      </c>
      <c r="B44" s="3" t="s">
        <v>558</v>
      </c>
      <c r="C44" s="3" t="s">
        <v>559</v>
      </c>
      <c r="D44" s="3" t="s">
        <v>333</v>
      </c>
      <c r="E44" s="3" t="s">
        <v>117</v>
      </c>
      <c r="F44" s="3" t="s">
        <v>120</v>
      </c>
      <c r="G44" s="3">
        <v>25</v>
      </c>
      <c r="H44" s="3">
        <v>42</v>
      </c>
      <c r="I44" s="3">
        <v>25</v>
      </c>
      <c r="J44" s="3">
        <v>0</v>
      </c>
      <c r="K44" s="3" t="str">
        <f t="shared" si="0"/>
        <v>Complete</v>
      </c>
      <c r="L44" s="3" t="s">
        <v>560</v>
      </c>
      <c r="M44" s="3" t="s">
        <v>561</v>
      </c>
      <c r="N44" s="14">
        <v>46193</v>
      </c>
    </row>
    <row r="45" spans="1:14" x14ac:dyDescent="0.2">
      <c r="A45" s="3" t="s">
        <v>553</v>
      </c>
      <c r="B45" s="3" t="s">
        <v>558</v>
      </c>
      <c r="C45" s="3" t="s">
        <v>559</v>
      </c>
      <c r="D45" s="3" t="s">
        <v>334</v>
      </c>
      <c r="E45" s="3" t="s">
        <v>117</v>
      </c>
      <c r="F45" s="3" t="s">
        <v>121</v>
      </c>
      <c r="G45" s="3">
        <v>25</v>
      </c>
      <c r="H45" s="3">
        <v>42</v>
      </c>
      <c r="I45" s="3">
        <v>25</v>
      </c>
      <c r="J45" s="3">
        <v>0</v>
      </c>
      <c r="K45" s="3" t="str">
        <f t="shared" si="0"/>
        <v>Complete</v>
      </c>
      <c r="L45" s="3" t="s">
        <v>560</v>
      </c>
      <c r="M45" s="3" t="s">
        <v>561</v>
      </c>
      <c r="N45" s="14">
        <v>46193</v>
      </c>
    </row>
    <row r="46" spans="1:14" x14ac:dyDescent="0.2">
      <c r="A46" s="3" t="s">
        <v>553</v>
      </c>
      <c r="B46" s="3" t="s">
        <v>558</v>
      </c>
      <c r="C46" s="3" t="s">
        <v>559</v>
      </c>
      <c r="D46" s="3" t="s">
        <v>335</v>
      </c>
      <c r="E46" s="3" t="s">
        <v>117</v>
      </c>
      <c r="F46" s="3" t="s">
        <v>122</v>
      </c>
      <c r="G46" s="3">
        <v>100</v>
      </c>
      <c r="H46" s="3">
        <v>120</v>
      </c>
      <c r="I46" s="3">
        <v>100</v>
      </c>
      <c r="J46" s="3">
        <v>0</v>
      </c>
      <c r="K46" s="3" t="str">
        <f t="shared" si="0"/>
        <v>Complete</v>
      </c>
      <c r="L46" s="3" t="s">
        <v>560</v>
      </c>
      <c r="M46" s="3" t="s">
        <v>561</v>
      </c>
      <c r="N46" s="14">
        <v>46193</v>
      </c>
    </row>
    <row r="47" spans="1:14" x14ac:dyDescent="0.2">
      <c r="A47" s="3" t="s">
        <v>553</v>
      </c>
      <c r="B47" s="3" t="s">
        <v>558</v>
      </c>
      <c r="C47" s="3" t="s">
        <v>559</v>
      </c>
      <c r="D47" s="3" t="s">
        <v>336</v>
      </c>
      <c r="E47" s="3" t="s">
        <v>117</v>
      </c>
      <c r="F47" s="3" t="s">
        <v>123</v>
      </c>
      <c r="G47" s="3">
        <v>25</v>
      </c>
      <c r="H47" s="3">
        <v>19</v>
      </c>
      <c r="I47" s="3">
        <v>19</v>
      </c>
      <c r="J47" s="3">
        <v>6</v>
      </c>
      <c r="K47" s="3" t="str">
        <f t="shared" si="0"/>
        <v>Hold</v>
      </c>
      <c r="L47" s="3" t="s">
        <v>560</v>
      </c>
      <c r="M47" s="3" t="s">
        <v>565</v>
      </c>
      <c r="N47" s="14">
        <v>46193</v>
      </c>
    </row>
    <row r="48" spans="1:14" x14ac:dyDescent="0.2">
      <c r="A48" s="3" t="s">
        <v>553</v>
      </c>
      <c r="B48" s="3" t="s">
        <v>558</v>
      </c>
      <c r="C48" s="3" t="s">
        <v>559</v>
      </c>
      <c r="D48" s="3" t="s">
        <v>336</v>
      </c>
      <c r="E48" s="3" t="s">
        <v>117</v>
      </c>
      <c r="F48" s="3" t="s">
        <v>124</v>
      </c>
      <c r="G48" s="3">
        <v>25</v>
      </c>
      <c r="H48" s="3">
        <v>44</v>
      </c>
      <c r="I48" s="3">
        <v>25</v>
      </c>
      <c r="J48" s="3">
        <v>0</v>
      </c>
      <c r="K48" s="3" t="str">
        <f t="shared" si="0"/>
        <v>Complete</v>
      </c>
      <c r="L48" s="3" t="s">
        <v>560</v>
      </c>
      <c r="M48" s="3" t="s">
        <v>561</v>
      </c>
      <c r="N48" s="14">
        <v>46193</v>
      </c>
    </row>
    <row r="49" spans="1:14" x14ac:dyDescent="0.2">
      <c r="A49" s="3" t="s">
        <v>553</v>
      </c>
      <c r="B49" s="3" t="s">
        <v>558</v>
      </c>
      <c r="C49" s="3" t="s">
        <v>559</v>
      </c>
      <c r="D49" s="3" t="s">
        <v>337</v>
      </c>
      <c r="E49" s="3" t="s">
        <v>117</v>
      </c>
      <c r="F49" s="3" t="s">
        <v>125</v>
      </c>
      <c r="G49" s="3">
        <v>25</v>
      </c>
      <c r="H49" s="3">
        <v>44</v>
      </c>
      <c r="I49" s="3">
        <v>25</v>
      </c>
      <c r="J49" s="3">
        <v>0</v>
      </c>
      <c r="K49" s="3" t="str">
        <f t="shared" si="0"/>
        <v>Complete</v>
      </c>
      <c r="L49" s="3" t="s">
        <v>560</v>
      </c>
      <c r="M49" s="3" t="s">
        <v>561</v>
      </c>
      <c r="N49" s="14">
        <v>46193</v>
      </c>
    </row>
    <row r="50" spans="1:14" x14ac:dyDescent="0.2">
      <c r="A50" s="3" t="s">
        <v>553</v>
      </c>
      <c r="B50" s="3" t="s">
        <v>558</v>
      </c>
      <c r="C50" s="3" t="s">
        <v>559</v>
      </c>
      <c r="D50" s="3" t="s">
        <v>337</v>
      </c>
      <c r="E50" s="3" t="s">
        <v>117</v>
      </c>
      <c r="F50" s="3" t="s">
        <v>126</v>
      </c>
      <c r="G50" s="3">
        <v>25</v>
      </c>
      <c r="H50" s="3">
        <v>44</v>
      </c>
      <c r="I50" s="3">
        <v>25</v>
      </c>
      <c r="J50" s="3">
        <v>0</v>
      </c>
      <c r="K50" s="3" t="str">
        <f t="shared" si="0"/>
        <v>Complete</v>
      </c>
      <c r="L50" s="3" t="s">
        <v>560</v>
      </c>
      <c r="M50" s="3" t="s">
        <v>561</v>
      </c>
      <c r="N50" s="14">
        <v>46193</v>
      </c>
    </row>
    <row r="51" spans="1:14" x14ac:dyDescent="0.2">
      <c r="A51" s="3" t="s">
        <v>553</v>
      </c>
      <c r="B51" s="3" t="s">
        <v>558</v>
      </c>
      <c r="C51" s="3" t="s">
        <v>559</v>
      </c>
      <c r="D51" s="3" t="s">
        <v>337</v>
      </c>
      <c r="E51" s="3" t="s">
        <v>117</v>
      </c>
      <c r="F51" s="3" t="s">
        <v>127</v>
      </c>
      <c r="G51" s="3">
        <v>25</v>
      </c>
      <c r="H51" s="3">
        <v>44</v>
      </c>
      <c r="I51" s="3">
        <v>25</v>
      </c>
      <c r="J51" s="3">
        <v>0</v>
      </c>
      <c r="K51" s="3" t="str">
        <f t="shared" si="0"/>
        <v>Complete</v>
      </c>
      <c r="L51" s="3" t="s">
        <v>560</v>
      </c>
      <c r="M51" s="3" t="s">
        <v>561</v>
      </c>
      <c r="N51" s="14">
        <v>46193</v>
      </c>
    </row>
    <row r="52" spans="1:14" x14ac:dyDescent="0.2">
      <c r="A52" s="3" t="s">
        <v>553</v>
      </c>
      <c r="B52" s="3" t="s">
        <v>558</v>
      </c>
      <c r="C52" s="3" t="s">
        <v>559</v>
      </c>
      <c r="D52" s="3" t="s">
        <v>337</v>
      </c>
      <c r="E52" s="3" t="s">
        <v>117</v>
      </c>
      <c r="F52" s="3" t="s">
        <v>128</v>
      </c>
      <c r="G52" s="3">
        <v>25</v>
      </c>
      <c r="H52" s="3">
        <v>36</v>
      </c>
      <c r="I52" s="3">
        <v>25</v>
      </c>
      <c r="J52" s="3">
        <v>0</v>
      </c>
      <c r="K52" s="3" t="str">
        <f t="shared" si="0"/>
        <v>Complete</v>
      </c>
      <c r="L52" s="3" t="s">
        <v>560</v>
      </c>
      <c r="M52" s="3" t="s">
        <v>561</v>
      </c>
      <c r="N52" s="14">
        <v>46193</v>
      </c>
    </row>
    <row r="53" spans="1:14" x14ac:dyDescent="0.2">
      <c r="A53" s="3" t="s">
        <v>553</v>
      </c>
      <c r="B53" s="3" t="s">
        <v>558</v>
      </c>
      <c r="C53" s="3" t="s">
        <v>559</v>
      </c>
      <c r="D53" s="3" t="s">
        <v>338</v>
      </c>
      <c r="E53" s="3" t="s">
        <v>117</v>
      </c>
      <c r="F53" s="3" t="s">
        <v>129</v>
      </c>
      <c r="G53" s="3">
        <v>25</v>
      </c>
      <c r="H53" s="3">
        <v>38</v>
      </c>
      <c r="I53" s="3">
        <v>25</v>
      </c>
      <c r="J53" s="3">
        <v>0</v>
      </c>
      <c r="K53" s="3" t="str">
        <f t="shared" si="0"/>
        <v>Complete</v>
      </c>
      <c r="L53" s="3" t="s">
        <v>560</v>
      </c>
      <c r="M53" s="3" t="s">
        <v>561</v>
      </c>
      <c r="N53" s="14">
        <v>46193</v>
      </c>
    </row>
    <row r="54" spans="1:14" x14ac:dyDescent="0.2">
      <c r="A54" s="3" t="s">
        <v>553</v>
      </c>
      <c r="B54" s="3" t="s">
        <v>558</v>
      </c>
      <c r="C54" s="3" t="s">
        <v>559</v>
      </c>
      <c r="D54" s="3" t="s">
        <v>338</v>
      </c>
      <c r="E54" s="3" t="s">
        <v>117</v>
      </c>
      <c r="F54" s="3" t="s">
        <v>130</v>
      </c>
      <c r="G54" s="3">
        <v>25</v>
      </c>
      <c r="H54" s="3">
        <v>38</v>
      </c>
      <c r="I54" s="3">
        <v>25</v>
      </c>
      <c r="J54" s="3">
        <v>0</v>
      </c>
      <c r="K54" s="3" t="str">
        <f t="shared" si="0"/>
        <v>Complete</v>
      </c>
      <c r="L54" s="3" t="s">
        <v>560</v>
      </c>
      <c r="M54" s="3" t="s">
        <v>561</v>
      </c>
      <c r="N54" s="14">
        <v>46193</v>
      </c>
    </row>
    <row r="55" spans="1:14" x14ac:dyDescent="0.2">
      <c r="A55" s="3" t="s">
        <v>553</v>
      </c>
      <c r="B55" s="3" t="s">
        <v>558</v>
      </c>
      <c r="C55" s="3" t="s">
        <v>559</v>
      </c>
      <c r="D55" s="3" t="s">
        <v>338</v>
      </c>
      <c r="E55" s="3" t="s">
        <v>117</v>
      </c>
      <c r="F55" s="3" t="s">
        <v>131</v>
      </c>
      <c r="G55" s="3">
        <v>25</v>
      </c>
      <c r="H55" s="3">
        <v>38</v>
      </c>
      <c r="I55" s="3">
        <v>25</v>
      </c>
      <c r="J55" s="3">
        <v>0</v>
      </c>
      <c r="K55" s="3" t="str">
        <f t="shared" si="0"/>
        <v>Complete</v>
      </c>
      <c r="L55" s="3" t="s">
        <v>560</v>
      </c>
      <c r="M55" s="3" t="s">
        <v>561</v>
      </c>
      <c r="N55" s="14">
        <v>46193</v>
      </c>
    </row>
    <row r="56" spans="1:14" x14ac:dyDescent="0.2">
      <c r="A56" s="3" t="s">
        <v>553</v>
      </c>
      <c r="B56" s="3" t="s">
        <v>558</v>
      </c>
      <c r="C56" s="3" t="s">
        <v>559</v>
      </c>
      <c r="D56" s="3" t="s">
        <v>338</v>
      </c>
      <c r="E56" s="3" t="s">
        <v>117</v>
      </c>
      <c r="F56" s="3" t="s">
        <v>132</v>
      </c>
      <c r="G56" s="3">
        <v>100</v>
      </c>
      <c r="H56" s="3">
        <v>150</v>
      </c>
      <c r="I56" s="3">
        <v>100</v>
      </c>
      <c r="J56" s="3">
        <v>0</v>
      </c>
      <c r="K56" s="3" t="str">
        <f t="shared" si="0"/>
        <v>Complete</v>
      </c>
      <c r="L56" s="3" t="s">
        <v>560</v>
      </c>
      <c r="M56" s="3" t="s">
        <v>561</v>
      </c>
      <c r="N56" s="14">
        <v>46193</v>
      </c>
    </row>
    <row r="57" spans="1:14" x14ac:dyDescent="0.2">
      <c r="A57" s="3" t="s">
        <v>553</v>
      </c>
      <c r="B57" s="3" t="s">
        <v>558</v>
      </c>
      <c r="C57" s="3" t="s">
        <v>559</v>
      </c>
      <c r="D57" s="3" t="s">
        <v>339</v>
      </c>
      <c r="E57" s="3" t="s">
        <v>117</v>
      </c>
      <c r="F57" s="3" t="s">
        <v>133</v>
      </c>
      <c r="G57" s="3">
        <v>75</v>
      </c>
      <c r="H57" s="3">
        <v>85</v>
      </c>
      <c r="I57" s="3">
        <v>75</v>
      </c>
      <c r="J57" s="3">
        <v>0</v>
      </c>
      <c r="K57" s="3" t="str">
        <f t="shared" si="0"/>
        <v>Complete</v>
      </c>
      <c r="L57" s="3" t="s">
        <v>560</v>
      </c>
      <c r="M57" s="3" t="s">
        <v>561</v>
      </c>
      <c r="N57" s="14">
        <v>46193</v>
      </c>
    </row>
    <row r="58" spans="1:14" x14ac:dyDescent="0.2">
      <c r="A58" s="3" t="s">
        <v>553</v>
      </c>
      <c r="B58" s="3" t="s">
        <v>558</v>
      </c>
      <c r="C58" s="3" t="s">
        <v>559</v>
      </c>
      <c r="D58" s="3" t="s">
        <v>340</v>
      </c>
      <c r="E58" s="3" t="s">
        <v>117</v>
      </c>
      <c r="F58" s="3" t="s">
        <v>134</v>
      </c>
      <c r="G58" s="3">
        <v>25</v>
      </c>
      <c r="H58" s="3">
        <v>40</v>
      </c>
      <c r="I58" s="3">
        <v>25</v>
      </c>
      <c r="J58" s="3">
        <v>0</v>
      </c>
      <c r="K58" s="3" t="str">
        <f t="shared" si="0"/>
        <v>Complete</v>
      </c>
      <c r="L58" s="3" t="s">
        <v>560</v>
      </c>
      <c r="M58" s="3" t="s">
        <v>561</v>
      </c>
      <c r="N58" s="14">
        <v>46193</v>
      </c>
    </row>
    <row r="59" spans="1:14" x14ac:dyDescent="0.2">
      <c r="A59" s="3" t="s">
        <v>554</v>
      </c>
      <c r="B59" s="3" t="s">
        <v>558</v>
      </c>
      <c r="C59" s="3" t="s">
        <v>559</v>
      </c>
      <c r="D59" s="3" t="s">
        <v>305</v>
      </c>
      <c r="E59" s="3" t="s">
        <v>135</v>
      </c>
      <c r="F59" s="3" t="s">
        <v>137</v>
      </c>
      <c r="G59" s="3">
        <v>25</v>
      </c>
      <c r="H59" s="3">
        <v>43</v>
      </c>
      <c r="I59" s="3">
        <v>25</v>
      </c>
      <c r="J59" s="3">
        <v>0</v>
      </c>
      <c r="K59" s="3" t="str">
        <f t="shared" si="0"/>
        <v>Complete</v>
      </c>
      <c r="L59" s="3" t="s">
        <v>560</v>
      </c>
      <c r="M59" s="3" t="s">
        <v>561</v>
      </c>
      <c r="N59" s="14">
        <v>46194</v>
      </c>
    </row>
    <row r="60" spans="1:14" x14ac:dyDescent="0.2">
      <c r="A60" s="3" t="s">
        <v>554</v>
      </c>
      <c r="B60" s="3" t="s">
        <v>558</v>
      </c>
      <c r="C60" s="3" t="s">
        <v>559</v>
      </c>
      <c r="D60" s="3" t="s">
        <v>305</v>
      </c>
      <c r="E60" s="3" t="s">
        <v>135</v>
      </c>
      <c r="F60" s="3" t="s">
        <v>138</v>
      </c>
      <c r="G60" s="3">
        <v>25</v>
      </c>
      <c r="H60" s="3">
        <v>43</v>
      </c>
      <c r="I60" s="3">
        <v>25</v>
      </c>
      <c r="J60" s="3">
        <v>0</v>
      </c>
      <c r="K60" s="3" t="str">
        <f t="shared" si="0"/>
        <v>Complete</v>
      </c>
      <c r="L60" s="3" t="s">
        <v>560</v>
      </c>
      <c r="M60" s="3" t="s">
        <v>561</v>
      </c>
      <c r="N60" s="14">
        <v>46194</v>
      </c>
    </row>
    <row r="61" spans="1:14" x14ac:dyDescent="0.2">
      <c r="A61" s="3" t="s">
        <v>554</v>
      </c>
      <c r="B61" s="3" t="s">
        <v>558</v>
      </c>
      <c r="C61" s="3" t="s">
        <v>559</v>
      </c>
      <c r="D61" s="3" t="s">
        <v>305</v>
      </c>
      <c r="E61" s="3" t="s">
        <v>135</v>
      </c>
      <c r="F61" s="3" t="s">
        <v>139</v>
      </c>
      <c r="G61" s="3">
        <v>25</v>
      </c>
      <c r="H61" s="3">
        <v>43</v>
      </c>
      <c r="I61" s="3">
        <v>25</v>
      </c>
      <c r="J61" s="3">
        <v>0</v>
      </c>
      <c r="K61" s="3" t="str">
        <f t="shared" si="0"/>
        <v>Complete</v>
      </c>
      <c r="L61" s="3" t="s">
        <v>560</v>
      </c>
      <c r="M61" s="3" t="s">
        <v>561</v>
      </c>
      <c r="N61" s="14">
        <v>46194</v>
      </c>
    </row>
    <row r="62" spans="1:14" x14ac:dyDescent="0.2">
      <c r="A62" s="3" t="s">
        <v>554</v>
      </c>
      <c r="B62" s="3" t="s">
        <v>558</v>
      </c>
      <c r="C62" s="3" t="s">
        <v>559</v>
      </c>
      <c r="D62" s="3" t="s">
        <v>312</v>
      </c>
      <c r="E62" s="3" t="s">
        <v>135</v>
      </c>
      <c r="F62" s="3" t="s">
        <v>140</v>
      </c>
      <c r="G62" s="3">
        <v>25</v>
      </c>
      <c r="H62" s="3">
        <v>36</v>
      </c>
      <c r="I62" s="3">
        <v>25</v>
      </c>
      <c r="J62" s="3">
        <v>0</v>
      </c>
      <c r="K62" s="3" t="str">
        <f t="shared" si="0"/>
        <v>Complete</v>
      </c>
      <c r="L62" s="3" t="s">
        <v>560</v>
      </c>
      <c r="M62" s="3" t="s">
        <v>561</v>
      </c>
      <c r="N62" s="14">
        <v>46194</v>
      </c>
    </row>
    <row r="63" spans="1:14" x14ac:dyDescent="0.2">
      <c r="A63" s="3" t="s">
        <v>554</v>
      </c>
      <c r="B63" s="3" t="s">
        <v>558</v>
      </c>
      <c r="C63" s="3" t="s">
        <v>559</v>
      </c>
      <c r="D63" s="3" t="s">
        <v>305</v>
      </c>
      <c r="E63" s="3" t="s">
        <v>135</v>
      </c>
      <c r="F63" s="3" t="s">
        <v>141</v>
      </c>
      <c r="G63" s="3">
        <v>25</v>
      </c>
      <c r="H63" s="3">
        <v>38</v>
      </c>
      <c r="I63" s="3">
        <v>25</v>
      </c>
      <c r="J63" s="3">
        <v>0</v>
      </c>
      <c r="K63" s="3" t="str">
        <f t="shared" si="0"/>
        <v>Complete</v>
      </c>
      <c r="L63" s="3" t="s">
        <v>560</v>
      </c>
      <c r="M63" s="3" t="s">
        <v>561</v>
      </c>
      <c r="N63" s="14">
        <v>46194</v>
      </c>
    </row>
    <row r="64" spans="1:14" x14ac:dyDescent="0.2">
      <c r="A64" s="3" t="s">
        <v>554</v>
      </c>
      <c r="B64" s="3" t="s">
        <v>558</v>
      </c>
      <c r="C64" s="3" t="s">
        <v>559</v>
      </c>
      <c r="D64" s="3" t="s">
        <v>341</v>
      </c>
      <c r="E64" s="3" t="s">
        <v>135</v>
      </c>
      <c r="F64" s="3" t="s">
        <v>142</v>
      </c>
      <c r="G64" s="3">
        <v>25</v>
      </c>
      <c r="H64" s="3">
        <v>38</v>
      </c>
      <c r="I64" s="3">
        <v>25</v>
      </c>
      <c r="J64" s="3">
        <v>0</v>
      </c>
      <c r="K64" s="3" t="str">
        <f t="shared" si="0"/>
        <v>Complete</v>
      </c>
      <c r="L64" s="3" t="s">
        <v>560</v>
      </c>
      <c r="M64" s="3" t="s">
        <v>561</v>
      </c>
      <c r="N64" s="14">
        <v>46194</v>
      </c>
    </row>
    <row r="65" spans="1:14" x14ac:dyDescent="0.2">
      <c r="A65" s="3" t="s">
        <v>554</v>
      </c>
      <c r="B65" s="3" t="s">
        <v>558</v>
      </c>
      <c r="C65" s="3" t="s">
        <v>559</v>
      </c>
      <c r="D65" s="3" t="s">
        <v>342</v>
      </c>
      <c r="E65" s="3" t="s">
        <v>135</v>
      </c>
      <c r="F65" s="3" t="s">
        <v>143</v>
      </c>
      <c r="G65" s="3">
        <v>25</v>
      </c>
      <c r="H65" s="3">
        <v>38</v>
      </c>
      <c r="I65" s="3">
        <v>25</v>
      </c>
      <c r="J65" s="3">
        <v>0</v>
      </c>
      <c r="K65" s="3" t="str">
        <f t="shared" si="0"/>
        <v>Complete</v>
      </c>
      <c r="L65" s="3" t="s">
        <v>560</v>
      </c>
      <c r="M65" s="3" t="s">
        <v>561</v>
      </c>
      <c r="N65" s="14">
        <v>46194</v>
      </c>
    </row>
    <row r="66" spans="1:14" x14ac:dyDescent="0.2">
      <c r="A66" s="3" t="s">
        <v>554</v>
      </c>
      <c r="B66" s="3" t="s">
        <v>558</v>
      </c>
      <c r="C66" s="3" t="s">
        <v>559</v>
      </c>
      <c r="D66" s="3" t="s">
        <v>343</v>
      </c>
      <c r="E66" s="3" t="s">
        <v>135</v>
      </c>
      <c r="F66" s="3" t="s">
        <v>144</v>
      </c>
      <c r="G66" s="3">
        <v>25</v>
      </c>
      <c r="H66" s="3">
        <v>120</v>
      </c>
      <c r="I66" s="3">
        <v>25</v>
      </c>
      <c r="J66" s="3">
        <v>0</v>
      </c>
      <c r="K66" s="3" t="str">
        <f t="shared" si="0"/>
        <v>Complete</v>
      </c>
      <c r="L66" s="3" t="s">
        <v>533</v>
      </c>
      <c r="M66" s="3" t="s">
        <v>561</v>
      </c>
      <c r="N66" s="14">
        <v>46194</v>
      </c>
    </row>
    <row r="67" spans="1:14" x14ac:dyDescent="0.2">
      <c r="A67" s="3" t="s">
        <v>554</v>
      </c>
      <c r="B67" s="3" t="s">
        <v>558</v>
      </c>
      <c r="C67" s="3" t="s">
        <v>559</v>
      </c>
      <c r="D67" s="3" t="s">
        <v>344</v>
      </c>
      <c r="E67" s="3" t="s">
        <v>135</v>
      </c>
      <c r="F67" s="3" t="s">
        <v>145</v>
      </c>
      <c r="G67" s="3">
        <v>200</v>
      </c>
      <c r="H67" s="3">
        <v>80</v>
      </c>
      <c r="I67" s="3">
        <v>80</v>
      </c>
      <c r="J67" s="3">
        <v>120</v>
      </c>
      <c r="K67" s="3" t="str">
        <f t="shared" ref="K67:K103" si="1">IF(J67=0,"Complete","Hold")</f>
        <v>Hold</v>
      </c>
      <c r="L67" s="3" t="s">
        <v>560</v>
      </c>
      <c r="M67" s="3" t="s">
        <v>566</v>
      </c>
      <c r="N67" s="14">
        <v>46194</v>
      </c>
    </row>
    <row r="68" spans="1:14" x14ac:dyDescent="0.2">
      <c r="A68" s="3" t="s">
        <v>555</v>
      </c>
      <c r="B68" s="3" t="s">
        <v>558</v>
      </c>
      <c r="C68" s="3" t="s">
        <v>559</v>
      </c>
      <c r="D68" s="3" t="s">
        <v>345</v>
      </c>
      <c r="E68" s="3" t="s">
        <v>147</v>
      </c>
      <c r="F68" s="3" t="s">
        <v>150</v>
      </c>
      <c r="G68" s="3">
        <v>50</v>
      </c>
      <c r="H68" s="3">
        <v>50</v>
      </c>
      <c r="I68" s="3">
        <v>50</v>
      </c>
      <c r="J68" s="3">
        <v>0</v>
      </c>
      <c r="K68" s="3" t="str">
        <f t="shared" si="1"/>
        <v>Complete</v>
      </c>
      <c r="L68" s="3" t="s">
        <v>560</v>
      </c>
      <c r="M68" s="3" t="s">
        <v>561</v>
      </c>
      <c r="N68" s="14">
        <v>46195</v>
      </c>
    </row>
    <row r="69" spans="1:14" x14ac:dyDescent="0.2">
      <c r="A69" s="3" t="s">
        <v>555</v>
      </c>
      <c r="B69" s="3" t="s">
        <v>558</v>
      </c>
      <c r="C69" s="3" t="s">
        <v>559</v>
      </c>
      <c r="D69" s="3" t="s">
        <v>346</v>
      </c>
      <c r="E69" s="3" t="s">
        <v>147</v>
      </c>
      <c r="F69" s="3" t="s">
        <v>152</v>
      </c>
      <c r="G69" s="3">
        <v>50</v>
      </c>
      <c r="H69" s="3">
        <v>105</v>
      </c>
      <c r="I69" s="3">
        <v>50</v>
      </c>
      <c r="J69" s="3">
        <v>0</v>
      </c>
      <c r="K69" s="3" t="str">
        <f t="shared" si="1"/>
        <v>Complete</v>
      </c>
      <c r="L69" s="3" t="s">
        <v>560</v>
      </c>
      <c r="M69" s="3" t="s">
        <v>561</v>
      </c>
      <c r="N69" s="14">
        <v>46195</v>
      </c>
    </row>
    <row r="70" spans="1:14" x14ac:dyDescent="0.2">
      <c r="A70" s="3" t="s">
        <v>555</v>
      </c>
      <c r="B70" s="3" t="s">
        <v>558</v>
      </c>
      <c r="C70" s="3" t="s">
        <v>559</v>
      </c>
      <c r="D70" s="3" t="s">
        <v>347</v>
      </c>
      <c r="E70" s="3" t="s">
        <v>147</v>
      </c>
      <c r="F70" s="3" t="s">
        <v>153</v>
      </c>
      <c r="G70" s="3">
        <v>100</v>
      </c>
      <c r="H70" s="3">
        <v>120</v>
      </c>
      <c r="I70" s="3">
        <v>100</v>
      </c>
      <c r="J70" s="3">
        <v>0</v>
      </c>
      <c r="K70" s="3" t="str">
        <f t="shared" si="1"/>
        <v>Complete</v>
      </c>
      <c r="L70" s="3" t="s">
        <v>560</v>
      </c>
      <c r="M70" s="3" t="s">
        <v>561</v>
      </c>
      <c r="N70" s="14">
        <v>46195</v>
      </c>
    </row>
    <row r="71" spans="1:14" x14ac:dyDescent="0.2">
      <c r="A71" s="3" t="s">
        <v>555</v>
      </c>
      <c r="B71" s="3" t="s">
        <v>558</v>
      </c>
      <c r="C71" s="3" t="s">
        <v>559</v>
      </c>
      <c r="D71" s="3" t="s">
        <v>347</v>
      </c>
      <c r="E71" s="3" t="s">
        <v>147</v>
      </c>
      <c r="F71" s="3" t="s">
        <v>154</v>
      </c>
      <c r="G71" s="3">
        <v>100</v>
      </c>
      <c r="H71" s="3">
        <v>62</v>
      </c>
      <c r="I71" s="3">
        <v>62</v>
      </c>
      <c r="J71" s="3">
        <v>38</v>
      </c>
      <c r="K71" s="3" t="str">
        <f t="shared" si="1"/>
        <v>Hold</v>
      </c>
      <c r="L71" s="3" t="s">
        <v>560</v>
      </c>
      <c r="M71" s="3" t="s">
        <v>562</v>
      </c>
      <c r="N71" s="14">
        <v>46195</v>
      </c>
    </row>
    <row r="72" spans="1:14" x14ac:dyDescent="0.2">
      <c r="A72" s="3" t="s">
        <v>555</v>
      </c>
      <c r="B72" s="3" t="s">
        <v>558</v>
      </c>
      <c r="C72" s="3" t="s">
        <v>559</v>
      </c>
      <c r="D72" s="3" t="s">
        <v>347</v>
      </c>
      <c r="E72" s="3" t="s">
        <v>147</v>
      </c>
      <c r="F72" s="3" t="s">
        <v>155</v>
      </c>
      <c r="G72" s="3">
        <v>50</v>
      </c>
      <c r="H72" s="3">
        <v>115</v>
      </c>
      <c r="I72" s="3">
        <v>50</v>
      </c>
      <c r="J72" s="3">
        <v>0</v>
      </c>
      <c r="K72" s="3" t="str">
        <f t="shared" si="1"/>
        <v>Complete</v>
      </c>
      <c r="L72" s="3" t="s">
        <v>560</v>
      </c>
      <c r="M72" s="3" t="s">
        <v>561</v>
      </c>
      <c r="N72" s="14">
        <v>46195</v>
      </c>
    </row>
    <row r="73" spans="1:14" x14ac:dyDescent="0.2">
      <c r="A73" s="3" t="s">
        <v>555</v>
      </c>
      <c r="B73" s="3" t="s">
        <v>558</v>
      </c>
      <c r="C73" s="3" t="s">
        <v>559</v>
      </c>
      <c r="D73" s="3" t="s">
        <v>348</v>
      </c>
      <c r="E73" s="3" t="s">
        <v>147</v>
      </c>
      <c r="F73" s="3" t="s">
        <v>156</v>
      </c>
      <c r="G73" s="3">
        <v>100</v>
      </c>
      <c r="H73" s="3">
        <v>125</v>
      </c>
      <c r="I73" s="3">
        <v>100</v>
      </c>
      <c r="J73" s="3">
        <v>0</v>
      </c>
      <c r="K73" s="3" t="str">
        <f t="shared" si="1"/>
        <v>Complete</v>
      </c>
      <c r="L73" s="3" t="s">
        <v>560</v>
      </c>
      <c r="M73" s="3" t="s">
        <v>561</v>
      </c>
      <c r="N73" s="14">
        <v>46195</v>
      </c>
    </row>
    <row r="74" spans="1:14" x14ac:dyDescent="0.2">
      <c r="A74" s="3" t="s">
        <v>555</v>
      </c>
      <c r="B74" s="3" t="s">
        <v>558</v>
      </c>
      <c r="C74" s="3" t="s">
        <v>559</v>
      </c>
      <c r="D74" s="3" t="s">
        <v>348</v>
      </c>
      <c r="E74" s="3" t="s">
        <v>147</v>
      </c>
      <c r="F74" s="3" t="s">
        <v>158</v>
      </c>
      <c r="G74" s="3">
        <v>100</v>
      </c>
      <c r="H74" s="3">
        <v>100</v>
      </c>
      <c r="I74" s="3">
        <v>100</v>
      </c>
      <c r="J74" s="3">
        <v>0</v>
      </c>
      <c r="K74" s="3" t="str">
        <f t="shared" si="1"/>
        <v>Complete</v>
      </c>
      <c r="L74" s="3" t="s">
        <v>560</v>
      </c>
      <c r="M74" s="3" t="s">
        <v>561</v>
      </c>
      <c r="N74" s="14">
        <v>46195</v>
      </c>
    </row>
    <row r="75" spans="1:14" x14ac:dyDescent="0.2">
      <c r="A75" s="3" t="s">
        <v>555</v>
      </c>
      <c r="B75" s="3" t="s">
        <v>558</v>
      </c>
      <c r="C75" s="3" t="s">
        <v>559</v>
      </c>
      <c r="D75" s="3" t="s">
        <v>349</v>
      </c>
      <c r="E75" s="3" t="s">
        <v>147</v>
      </c>
      <c r="F75" s="3" t="s">
        <v>159</v>
      </c>
      <c r="G75" s="3">
        <v>100</v>
      </c>
      <c r="H75" s="3">
        <v>115</v>
      </c>
      <c r="I75" s="3">
        <v>100</v>
      </c>
      <c r="J75" s="3">
        <v>0</v>
      </c>
      <c r="K75" s="3" t="str">
        <f t="shared" si="1"/>
        <v>Complete</v>
      </c>
      <c r="L75" s="3" t="s">
        <v>560</v>
      </c>
      <c r="M75" s="3" t="s">
        <v>561</v>
      </c>
      <c r="N75" s="14">
        <v>46195</v>
      </c>
    </row>
    <row r="76" spans="1:14" x14ac:dyDescent="0.2">
      <c r="A76" s="3" t="s">
        <v>556</v>
      </c>
      <c r="B76" s="3" t="s">
        <v>558</v>
      </c>
      <c r="C76" s="3" t="s">
        <v>559</v>
      </c>
      <c r="D76" s="3" t="s">
        <v>350</v>
      </c>
      <c r="E76" s="3" t="s">
        <v>14</v>
      </c>
      <c r="F76" s="3" t="s">
        <v>21</v>
      </c>
      <c r="G76" s="3">
        <v>110400</v>
      </c>
      <c r="H76" s="3">
        <v>116000</v>
      </c>
      <c r="I76" s="3">
        <v>110400</v>
      </c>
      <c r="J76" s="3">
        <v>0</v>
      </c>
      <c r="K76" s="3" t="str">
        <f t="shared" si="1"/>
        <v>Complete</v>
      </c>
      <c r="L76" s="3" t="s">
        <v>560</v>
      </c>
      <c r="M76" s="3" t="s">
        <v>561</v>
      </c>
      <c r="N76" s="14">
        <v>46189</v>
      </c>
    </row>
    <row r="77" spans="1:14" x14ac:dyDescent="0.2">
      <c r="A77" s="3" t="s">
        <v>556</v>
      </c>
      <c r="B77" s="3" t="s">
        <v>558</v>
      </c>
      <c r="C77" s="3" t="s">
        <v>559</v>
      </c>
      <c r="D77" s="3" t="s">
        <v>308</v>
      </c>
      <c r="E77" s="3" t="s">
        <v>14</v>
      </c>
      <c r="F77" s="3" t="s">
        <v>23</v>
      </c>
      <c r="G77" s="3">
        <v>100</v>
      </c>
      <c r="H77" s="3">
        <v>260</v>
      </c>
      <c r="I77" s="3">
        <v>100</v>
      </c>
      <c r="J77" s="3">
        <v>0</v>
      </c>
      <c r="K77" s="3" t="str">
        <f t="shared" si="1"/>
        <v>Complete</v>
      </c>
      <c r="L77" s="3" t="s">
        <v>560</v>
      </c>
      <c r="M77" s="3" t="s">
        <v>561</v>
      </c>
      <c r="N77" s="14">
        <v>46189</v>
      </c>
    </row>
    <row r="78" spans="1:14" x14ac:dyDescent="0.2">
      <c r="A78" s="3" t="s">
        <v>556</v>
      </c>
      <c r="B78" s="3" t="s">
        <v>558</v>
      </c>
      <c r="C78" s="3" t="s">
        <v>559</v>
      </c>
      <c r="D78" s="3" t="s">
        <v>351</v>
      </c>
      <c r="E78" s="3" t="s">
        <v>14</v>
      </c>
      <c r="F78" s="3" t="s">
        <v>26</v>
      </c>
      <c r="G78" s="3">
        <v>200</v>
      </c>
      <c r="H78" s="3">
        <v>260</v>
      </c>
      <c r="I78" s="3">
        <v>200</v>
      </c>
      <c r="J78" s="3">
        <v>0</v>
      </c>
      <c r="K78" s="3" t="str">
        <f t="shared" si="1"/>
        <v>Complete</v>
      </c>
      <c r="L78" s="3" t="s">
        <v>560</v>
      </c>
      <c r="M78" s="3" t="s">
        <v>561</v>
      </c>
      <c r="N78" s="14">
        <v>46189</v>
      </c>
    </row>
    <row r="79" spans="1:14" x14ac:dyDescent="0.2">
      <c r="A79" s="3" t="s">
        <v>556</v>
      </c>
      <c r="B79" s="3" t="s">
        <v>558</v>
      </c>
      <c r="C79" s="3" t="s">
        <v>559</v>
      </c>
      <c r="D79" s="3" t="s">
        <v>351</v>
      </c>
      <c r="E79" s="3" t="s">
        <v>14</v>
      </c>
      <c r="F79" s="3" t="s">
        <v>27</v>
      </c>
      <c r="G79" s="3">
        <v>200</v>
      </c>
      <c r="H79" s="3">
        <v>440</v>
      </c>
      <c r="I79" s="3">
        <v>200</v>
      </c>
      <c r="J79" s="3">
        <v>0</v>
      </c>
      <c r="K79" s="3" t="str">
        <f t="shared" si="1"/>
        <v>Complete</v>
      </c>
      <c r="L79" s="3" t="s">
        <v>560</v>
      </c>
      <c r="M79" s="3" t="s">
        <v>561</v>
      </c>
      <c r="N79" s="14">
        <v>46189</v>
      </c>
    </row>
    <row r="80" spans="1:14" x14ac:dyDescent="0.2">
      <c r="A80" s="3" t="s">
        <v>556</v>
      </c>
      <c r="B80" s="3" t="s">
        <v>558</v>
      </c>
      <c r="C80" s="3" t="s">
        <v>559</v>
      </c>
      <c r="D80" s="3" t="s">
        <v>352</v>
      </c>
      <c r="E80" s="3" t="s">
        <v>14</v>
      </c>
      <c r="F80" s="3" t="s">
        <v>28</v>
      </c>
      <c r="G80" s="3">
        <v>400</v>
      </c>
      <c r="H80" s="3">
        <v>520</v>
      </c>
      <c r="I80" s="3">
        <v>400</v>
      </c>
      <c r="J80" s="3">
        <v>0</v>
      </c>
      <c r="K80" s="3" t="str">
        <f t="shared" si="1"/>
        <v>Complete</v>
      </c>
      <c r="L80" s="3" t="s">
        <v>560</v>
      </c>
      <c r="M80" s="3" t="s">
        <v>561</v>
      </c>
      <c r="N80" s="14">
        <v>46189</v>
      </c>
    </row>
    <row r="81" spans="1:14" x14ac:dyDescent="0.2">
      <c r="A81" s="3" t="s">
        <v>556</v>
      </c>
      <c r="B81" s="3" t="s">
        <v>558</v>
      </c>
      <c r="C81" s="3" t="s">
        <v>559</v>
      </c>
      <c r="D81" s="3" t="s">
        <v>352</v>
      </c>
      <c r="E81" s="3" t="s">
        <v>14</v>
      </c>
      <c r="F81" s="3" t="s">
        <v>30</v>
      </c>
      <c r="G81" s="3">
        <v>110400</v>
      </c>
      <c r="H81" s="3">
        <v>122000</v>
      </c>
      <c r="I81" s="3">
        <v>110400</v>
      </c>
      <c r="J81" s="3">
        <v>0</v>
      </c>
      <c r="K81" s="3" t="str">
        <f t="shared" si="1"/>
        <v>Complete</v>
      </c>
      <c r="L81" s="3" t="s">
        <v>560</v>
      </c>
      <c r="M81" s="3" t="s">
        <v>561</v>
      </c>
      <c r="N81" s="14">
        <v>46189</v>
      </c>
    </row>
    <row r="82" spans="1:14" x14ac:dyDescent="0.2">
      <c r="A82" s="3" t="s">
        <v>556</v>
      </c>
      <c r="B82" s="3" t="s">
        <v>558</v>
      </c>
      <c r="C82" s="3" t="s">
        <v>559</v>
      </c>
      <c r="D82" s="3" t="s">
        <v>352</v>
      </c>
      <c r="E82" s="3" t="s">
        <v>14</v>
      </c>
      <c r="F82" s="3" t="s">
        <v>32</v>
      </c>
      <c r="G82" s="3">
        <v>600</v>
      </c>
      <c r="H82" s="3">
        <v>480</v>
      </c>
      <c r="I82" s="3">
        <v>480</v>
      </c>
      <c r="J82" s="3">
        <v>120</v>
      </c>
      <c r="K82" s="3" t="str">
        <f t="shared" si="1"/>
        <v>Hold</v>
      </c>
      <c r="L82" s="3" t="s">
        <v>560</v>
      </c>
      <c r="M82" s="3" t="s">
        <v>562</v>
      </c>
      <c r="N82" s="14">
        <v>46189</v>
      </c>
    </row>
    <row r="83" spans="1:14" x14ac:dyDescent="0.2">
      <c r="A83" s="3" t="s">
        <v>556</v>
      </c>
      <c r="B83" s="3" t="s">
        <v>558</v>
      </c>
      <c r="C83" s="3" t="s">
        <v>559</v>
      </c>
      <c r="D83" s="3" t="s">
        <v>352</v>
      </c>
      <c r="E83" s="3" t="s">
        <v>14</v>
      </c>
      <c r="F83" s="3" t="s">
        <v>33</v>
      </c>
      <c r="G83" s="3">
        <v>400</v>
      </c>
      <c r="H83" s="3">
        <v>320</v>
      </c>
      <c r="I83" s="3">
        <v>320</v>
      </c>
      <c r="J83" s="3">
        <v>80</v>
      </c>
      <c r="K83" s="3" t="str">
        <f t="shared" si="1"/>
        <v>Hold</v>
      </c>
      <c r="L83" s="3" t="s">
        <v>560</v>
      </c>
      <c r="M83" s="3" t="s">
        <v>562</v>
      </c>
      <c r="N83" s="14">
        <v>46189</v>
      </c>
    </row>
    <row r="84" spans="1:14" x14ac:dyDescent="0.2">
      <c r="A84" s="3" t="s">
        <v>556</v>
      </c>
      <c r="B84" s="3" t="s">
        <v>558</v>
      </c>
      <c r="C84" s="3" t="s">
        <v>559</v>
      </c>
      <c r="D84" s="3" t="s">
        <v>353</v>
      </c>
      <c r="E84" s="3" t="s">
        <v>14</v>
      </c>
      <c r="F84" s="3" t="s">
        <v>34</v>
      </c>
      <c r="G84" s="3">
        <v>100</v>
      </c>
      <c r="H84" s="3">
        <v>300</v>
      </c>
      <c r="I84" s="3">
        <v>100</v>
      </c>
      <c r="J84" s="3">
        <v>0</v>
      </c>
      <c r="K84" s="3" t="str">
        <f t="shared" si="1"/>
        <v>Complete</v>
      </c>
      <c r="L84" s="3" t="s">
        <v>560</v>
      </c>
      <c r="M84" s="3" t="s">
        <v>561</v>
      </c>
      <c r="N84" s="14">
        <v>46189</v>
      </c>
    </row>
    <row r="85" spans="1:14" x14ac:dyDescent="0.2">
      <c r="A85" s="3" t="s">
        <v>556</v>
      </c>
      <c r="B85" s="3" t="s">
        <v>558</v>
      </c>
      <c r="C85" s="3" t="s">
        <v>559</v>
      </c>
      <c r="D85" s="3" t="s">
        <v>354</v>
      </c>
      <c r="E85" s="3" t="s">
        <v>14</v>
      </c>
      <c r="F85" s="3" t="s">
        <v>36</v>
      </c>
      <c r="G85" s="3">
        <v>300</v>
      </c>
      <c r="H85" s="3">
        <v>230</v>
      </c>
      <c r="I85" s="3">
        <v>230</v>
      </c>
      <c r="J85" s="3">
        <v>70</v>
      </c>
      <c r="K85" s="3" t="str">
        <f t="shared" si="1"/>
        <v>Hold</v>
      </c>
      <c r="L85" s="3" t="s">
        <v>560</v>
      </c>
      <c r="M85" s="3" t="s">
        <v>562</v>
      </c>
      <c r="N85" s="14">
        <v>46189</v>
      </c>
    </row>
    <row r="86" spans="1:14" x14ac:dyDescent="0.2">
      <c r="A86" s="3" t="s">
        <v>556</v>
      </c>
      <c r="B86" s="3" t="s">
        <v>558</v>
      </c>
      <c r="C86" s="3" t="s">
        <v>559</v>
      </c>
      <c r="D86" s="3" t="s">
        <v>355</v>
      </c>
      <c r="E86" s="3" t="s">
        <v>14</v>
      </c>
      <c r="F86" s="3" t="s">
        <v>39</v>
      </c>
      <c r="G86" s="3">
        <v>25</v>
      </c>
      <c r="H86" s="3">
        <v>30</v>
      </c>
      <c r="I86" s="3">
        <v>25</v>
      </c>
      <c r="J86" s="3">
        <v>0</v>
      </c>
      <c r="K86" s="3" t="str">
        <f t="shared" si="1"/>
        <v>Complete</v>
      </c>
      <c r="L86" s="3" t="s">
        <v>560</v>
      </c>
      <c r="M86" s="3" t="s">
        <v>561</v>
      </c>
      <c r="N86" s="14">
        <v>46189</v>
      </c>
    </row>
    <row r="87" spans="1:14" x14ac:dyDescent="0.2">
      <c r="A87" s="3" t="s">
        <v>557</v>
      </c>
      <c r="B87" s="3" t="s">
        <v>558</v>
      </c>
      <c r="C87" s="3" t="s">
        <v>559</v>
      </c>
      <c r="D87" s="3" t="s">
        <v>356</v>
      </c>
      <c r="E87" s="3" t="s">
        <v>64</v>
      </c>
      <c r="F87" s="3" t="s">
        <v>67</v>
      </c>
      <c r="G87" s="3">
        <v>25</v>
      </c>
      <c r="H87" s="3">
        <v>30</v>
      </c>
      <c r="I87" s="3">
        <v>25</v>
      </c>
      <c r="J87" s="3">
        <v>0</v>
      </c>
      <c r="K87" s="3" t="str">
        <f t="shared" si="1"/>
        <v>Complete</v>
      </c>
      <c r="L87" s="3" t="s">
        <v>560</v>
      </c>
      <c r="M87" s="3" t="s">
        <v>561</v>
      </c>
      <c r="N87" s="14">
        <v>46190</v>
      </c>
    </row>
    <row r="88" spans="1:14" x14ac:dyDescent="0.2">
      <c r="A88" s="3" t="s">
        <v>557</v>
      </c>
      <c r="B88" s="3" t="s">
        <v>558</v>
      </c>
      <c r="C88" s="3" t="s">
        <v>559</v>
      </c>
      <c r="D88" s="3" t="s">
        <v>357</v>
      </c>
      <c r="E88" s="3" t="s">
        <v>64</v>
      </c>
      <c r="F88" s="3" t="s">
        <v>69</v>
      </c>
      <c r="G88" s="3">
        <v>25</v>
      </c>
      <c r="H88" s="3">
        <v>33</v>
      </c>
      <c r="I88" s="3">
        <v>25</v>
      </c>
      <c r="J88" s="3">
        <v>0</v>
      </c>
      <c r="K88" s="3" t="str">
        <f t="shared" si="1"/>
        <v>Complete</v>
      </c>
      <c r="L88" s="3" t="s">
        <v>560</v>
      </c>
      <c r="M88" s="3" t="s">
        <v>561</v>
      </c>
      <c r="N88" s="14">
        <v>46190</v>
      </c>
    </row>
    <row r="89" spans="1:14" x14ac:dyDescent="0.2">
      <c r="A89" s="3" t="s">
        <v>557</v>
      </c>
      <c r="B89" s="3" t="s">
        <v>558</v>
      </c>
      <c r="C89" s="3" t="s">
        <v>559</v>
      </c>
      <c r="D89" s="3" t="s">
        <v>358</v>
      </c>
      <c r="E89" s="3" t="s">
        <v>64</v>
      </c>
      <c r="F89" s="3" t="s">
        <v>70</v>
      </c>
      <c r="G89" s="3">
        <v>25</v>
      </c>
      <c r="H89" s="3">
        <v>24</v>
      </c>
      <c r="I89" s="3">
        <v>24</v>
      </c>
      <c r="J89" s="3">
        <v>1</v>
      </c>
      <c r="K89" s="3" t="str">
        <f t="shared" si="1"/>
        <v>Hold</v>
      </c>
      <c r="L89" s="3" t="s">
        <v>560</v>
      </c>
      <c r="M89" s="3" t="s">
        <v>562</v>
      </c>
      <c r="N89" s="14">
        <v>46190</v>
      </c>
    </row>
    <row r="90" spans="1:14" x14ac:dyDescent="0.2">
      <c r="A90" s="3" t="s">
        <v>557</v>
      </c>
      <c r="B90" s="3" t="s">
        <v>558</v>
      </c>
      <c r="C90" s="3" t="s">
        <v>559</v>
      </c>
      <c r="D90" s="3" t="s">
        <v>359</v>
      </c>
      <c r="E90" s="3" t="s">
        <v>64</v>
      </c>
      <c r="F90" s="3" t="s">
        <v>71</v>
      </c>
      <c r="G90" s="3">
        <v>25</v>
      </c>
      <c r="H90" s="3">
        <v>41</v>
      </c>
      <c r="I90" s="3">
        <v>25</v>
      </c>
      <c r="J90" s="3">
        <v>0</v>
      </c>
      <c r="K90" s="3" t="str">
        <f t="shared" si="1"/>
        <v>Complete</v>
      </c>
      <c r="L90" s="3" t="s">
        <v>560</v>
      </c>
      <c r="M90" s="3" t="s">
        <v>561</v>
      </c>
      <c r="N90" s="14">
        <v>46190</v>
      </c>
    </row>
    <row r="91" spans="1:14" x14ac:dyDescent="0.2">
      <c r="A91" s="3" t="s">
        <v>557</v>
      </c>
      <c r="B91" s="3" t="s">
        <v>558</v>
      </c>
      <c r="C91" s="3" t="s">
        <v>559</v>
      </c>
      <c r="D91" s="3" t="s">
        <v>360</v>
      </c>
      <c r="E91" s="3" t="s">
        <v>64</v>
      </c>
      <c r="F91" s="3" t="s">
        <v>72</v>
      </c>
      <c r="G91" s="3">
        <v>25</v>
      </c>
      <c r="H91" s="3">
        <v>55</v>
      </c>
      <c r="I91" s="3">
        <v>25</v>
      </c>
      <c r="J91" s="3">
        <v>0</v>
      </c>
      <c r="K91" s="3" t="str">
        <f t="shared" si="1"/>
        <v>Complete</v>
      </c>
      <c r="L91" s="3" t="s">
        <v>560</v>
      </c>
      <c r="M91" s="3" t="s">
        <v>561</v>
      </c>
      <c r="N91" s="14">
        <v>46190</v>
      </c>
    </row>
    <row r="92" spans="1:14" x14ac:dyDescent="0.2">
      <c r="A92" s="3" t="s">
        <v>557</v>
      </c>
      <c r="B92" s="3" t="s">
        <v>558</v>
      </c>
      <c r="C92" s="3" t="s">
        <v>559</v>
      </c>
      <c r="D92" s="3" t="s">
        <v>361</v>
      </c>
      <c r="E92" s="3" t="s">
        <v>64</v>
      </c>
      <c r="F92" s="3" t="s">
        <v>73</v>
      </c>
      <c r="G92" s="3">
        <v>50</v>
      </c>
      <c r="H92" s="3">
        <v>41</v>
      </c>
      <c r="I92" s="3">
        <v>41</v>
      </c>
      <c r="J92" s="3">
        <v>9</v>
      </c>
      <c r="K92" s="3" t="str">
        <f t="shared" si="1"/>
        <v>Hold</v>
      </c>
      <c r="L92" s="3" t="s">
        <v>560</v>
      </c>
      <c r="M92" s="3" t="s">
        <v>562</v>
      </c>
      <c r="N92" s="14">
        <v>46190</v>
      </c>
    </row>
    <row r="93" spans="1:14" x14ac:dyDescent="0.2">
      <c r="A93" s="3" t="s">
        <v>557</v>
      </c>
      <c r="B93" s="3" t="s">
        <v>558</v>
      </c>
      <c r="C93" s="3" t="s">
        <v>559</v>
      </c>
      <c r="D93" s="3" t="s">
        <v>362</v>
      </c>
      <c r="E93" s="3" t="s">
        <v>64</v>
      </c>
      <c r="F93" s="3" t="s">
        <v>74</v>
      </c>
      <c r="G93" s="3">
        <v>25</v>
      </c>
      <c r="H93" s="3">
        <v>41</v>
      </c>
      <c r="I93" s="3">
        <v>25</v>
      </c>
      <c r="J93" s="3">
        <v>0</v>
      </c>
      <c r="K93" s="3" t="str">
        <f t="shared" si="1"/>
        <v>Complete</v>
      </c>
      <c r="L93" s="3" t="s">
        <v>560</v>
      </c>
      <c r="M93" s="3" t="s">
        <v>561</v>
      </c>
      <c r="N93" s="14">
        <v>46190</v>
      </c>
    </row>
    <row r="94" spans="1:14" x14ac:dyDescent="0.2">
      <c r="A94" s="3" t="s">
        <v>557</v>
      </c>
      <c r="B94" s="3" t="s">
        <v>558</v>
      </c>
      <c r="C94" s="3" t="s">
        <v>559</v>
      </c>
      <c r="D94" s="3" t="s">
        <v>363</v>
      </c>
      <c r="E94" s="3" t="s">
        <v>64</v>
      </c>
      <c r="F94" s="3" t="s">
        <v>75</v>
      </c>
      <c r="G94" s="3">
        <v>25</v>
      </c>
      <c r="H94" s="3">
        <v>16</v>
      </c>
      <c r="I94" s="3">
        <v>16</v>
      </c>
      <c r="J94" s="3">
        <v>9</v>
      </c>
      <c r="K94" s="3" t="str">
        <f t="shared" si="1"/>
        <v>Hold</v>
      </c>
      <c r="L94" s="3" t="s">
        <v>560</v>
      </c>
      <c r="M94" s="3" t="s">
        <v>562</v>
      </c>
      <c r="N94" s="14">
        <v>46190</v>
      </c>
    </row>
    <row r="95" spans="1:14" x14ac:dyDescent="0.2">
      <c r="A95" s="3" t="s">
        <v>557</v>
      </c>
      <c r="B95" s="3" t="s">
        <v>558</v>
      </c>
      <c r="C95" s="3" t="s">
        <v>559</v>
      </c>
      <c r="D95" s="3" t="s">
        <v>364</v>
      </c>
      <c r="E95" s="3" t="s">
        <v>64</v>
      </c>
      <c r="F95" s="3" t="s">
        <v>78</v>
      </c>
      <c r="G95" s="3">
        <v>25</v>
      </c>
      <c r="H95" s="3">
        <v>40</v>
      </c>
      <c r="I95" s="3">
        <v>25</v>
      </c>
      <c r="J95" s="3">
        <v>0</v>
      </c>
      <c r="K95" s="3" t="str">
        <f t="shared" si="1"/>
        <v>Complete</v>
      </c>
      <c r="L95" s="3" t="s">
        <v>560</v>
      </c>
      <c r="M95" s="3" t="s">
        <v>561</v>
      </c>
      <c r="N95" s="14">
        <v>46190</v>
      </c>
    </row>
    <row r="96" spans="1:14" x14ac:dyDescent="0.2">
      <c r="A96" s="3" t="s">
        <v>557</v>
      </c>
      <c r="B96" s="3" t="s">
        <v>558</v>
      </c>
      <c r="C96" s="3" t="s">
        <v>559</v>
      </c>
      <c r="D96" s="3" t="s">
        <v>365</v>
      </c>
      <c r="E96" s="3" t="s">
        <v>64</v>
      </c>
      <c r="F96" s="3" t="s">
        <v>79</v>
      </c>
      <c r="G96" s="3">
        <v>25</v>
      </c>
      <c r="H96" s="3">
        <v>40</v>
      </c>
      <c r="I96" s="3">
        <v>25</v>
      </c>
      <c r="J96" s="3">
        <v>0</v>
      </c>
      <c r="K96" s="3" t="str">
        <f t="shared" si="1"/>
        <v>Complete</v>
      </c>
      <c r="L96" s="3" t="s">
        <v>560</v>
      </c>
      <c r="M96" s="3" t="s">
        <v>561</v>
      </c>
      <c r="N96" s="14">
        <v>46190</v>
      </c>
    </row>
    <row r="97" spans="1:14" x14ac:dyDescent="0.2">
      <c r="A97" s="3" t="s">
        <v>557</v>
      </c>
      <c r="B97" s="3" t="s">
        <v>558</v>
      </c>
      <c r="C97" s="3" t="s">
        <v>559</v>
      </c>
      <c r="D97" s="3" t="s">
        <v>366</v>
      </c>
      <c r="E97" s="3" t="s">
        <v>64</v>
      </c>
      <c r="F97" s="3" t="s">
        <v>80</v>
      </c>
      <c r="G97" s="3">
        <v>25</v>
      </c>
      <c r="H97" s="3">
        <v>40</v>
      </c>
      <c r="I97" s="3">
        <v>25</v>
      </c>
      <c r="J97" s="3">
        <v>0</v>
      </c>
      <c r="K97" s="3" t="str">
        <f t="shared" si="1"/>
        <v>Complete</v>
      </c>
      <c r="L97" s="3" t="s">
        <v>560</v>
      </c>
      <c r="M97" s="3" t="s">
        <v>561</v>
      </c>
      <c r="N97" s="14">
        <v>46190</v>
      </c>
    </row>
    <row r="98" spans="1:14" x14ac:dyDescent="0.2">
      <c r="A98" s="3" t="s">
        <v>557</v>
      </c>
      <c r="B98" s="3" t="s">
        <v>558</v>
      </c>
      <c r="C98" s="3" t="s">
        <v>559</v>
      </c>
      <c r="D98" s="3" t="s">
        <v>367</v>
      </c>
      <c r="E98" s="3" t="s">
        <v>64</v>
      </c>
      <c r="F98" s="3" t="s">
        <v>81</v>
      </c>
      <c r="G98" s="3">
        <v>25</v>
      </c>
      <c r="H98" s="3">
        <v>40</v>
      </c>
      <c r="I98" s="3">
        <v>25</v>
      </c>
      <c r="J98" s="3">
        <v>0</v>
      </c>
      <c r="K98" s="3" t="str">
        <f t="shared" si="1"/>
        <v>Complete</v>
      </c>
      <c r="L98" s="3" t="s">
        <v>560</v>
      </c>
      <c r="M98" s="3" t="s">
        <v>561</v>
      </c>
      <c r="N98" s="14">
        <v>46190</v>
      </c>
    </row>
    <row r="99" spans="1:14" x14ac:dyDescent="0.2">
      <c r="A99" s="3" t="s">
        <v>557</v>
      </c>
      <c r="B99" s="3" t="s">
        <v>558</v>
      </c>
      <c r="C99" s="3" t="s">
        <v>559</v>
      </c>
      <c r="D99" s="3" t="s">
        <v>368</v>
      </c>
      <c r="E99" s="3" t="s">
        <v>64</v>
      </c>
      <c r="F99" s="3" t="s">
        <v>82</v>
      </c>
      <c r="G99" s="3">
        <v>25</v>
      </c>
      <c r="H99" s="3">
        <v>40</v>
      </c>
      <c r="I99" s="3">
        <v>25</v>
      </c>
      <c r="J99" s="3">
        <v>0</v>
      </c>
      <c r="K99" s="3" t="str">
        <f t="shared" si="1"/>
        <v>Complete</v>
      </c>
      <c r="L99" s="3" t="s">
        <v>560</v>
      </c>
      <c r="M99" s="3" t="s">
        <v>561</v>
      </c>
      <c r="N99" s="14">
        <v>46190</v>
      </c>
    </row>
    <row r="100" spans="1:14" x14ac:dyDescent="0.2">
      <c r="A100" s="3" t="s">
        <v>557</v>
      </c>
      <c r="B100" s="3" t="s">
        <v>558</v>
      </c>
      <c r="C100" s="3" t="s">
        <v>559</v>
      </c>
      <c r="D100" s="3" t="s">
        <v>317</v>
      </c>
      <c r="E100" s="3" t="s">
        <v>64</v>
      </c>
      <c r="F100" s="3" t="s">
        <v>86</v>
      </c>
      <c r="G100" s="3">
        <v>25</v>
      </c>
      <c r="H100" s="3">
        <v>40</v>
      </c>
      <c r="I100" s="3">
        <v>25</v>
      </c>
      <c r="J100" s="3">
        <v>0</v>
      </c>
      <c r="K100" s="3" t="str">
        <f t="shared" si="1"/>
        <v>Complete</v>
      </c>
      <c r="L100" s="3" t="s">
        <v>560</v>
      </c>
      <c r="M100" s="3" t="s">
        <v>561</v>
      </c>
      <c r="N100" s="14">
        <v>46190</v>
      </c>
    </row>
    <row r="101" spans="1:14" x14ac:dyDescent="0.2">
      <c r="A101" s="3" t="s">
        <v>557</v>
      </c>
      <c r="B101" s="3" t="s">
        <v>558</v>
      </c>
      <c r="C101" s="3" t="s">
        <v>559</v>
      </c>
      <c r="D101" s="3" t="s">
        <v>317</v>
      </c>
      <c r="E101" s="3" t="s">
        <v>64</v>
      </c>
      <c r="F101" s="3" t="s">
        <v>87</v>
      </c>
      <c r="G101" s="3">
        <v>25</v>
      </c>
      <c r="H101" s="3">
        <v>120</v>
      </c>
      <c r="I101" s="3">
        <v>25</v>
      </c>
      <c r="J101" s="3">
        <v>0</v>
      </c>
      <c r="K101" s="3" t="str">
        <f t="shared" si="1"/>
        <v>Complete</v>
      </c>
      <c r="L101" s="3" t="s">
        <v>560</v>
      </c>
      <c r="M101" s="3" t="s">
        <v>561</v>
      </c>
      <c r="N101" s="14">
        <v>46190</v>
      </c>
    </row>
    <row r="102" spans="1:14" x14ac:dyDescent="0.2">
      <c r="A102" s="3" t="s">
        <v>557</v>
      </c>
      <c r="B102" s="3" t="s">
        <v>558</v>
      </c>
      <c r="C102" s="3" t="s">
        <v>559</v>
      </c>
      <c r="D102" s="3" t="s">
        <v>369</v>
      </c>
      <c r="E102" s="3" t="s">
        <v>64</v>
      </c>
      <c r="F102" s="3" t="s">
        <v>88</v>
      </c>
      <c r="G102" s="3">
        <v>100</v>
      </c>
      <c r="H102" s="3">
        <v>35</v>
      </c>
      <c r="I102" s="3">
        <v>35</v>
      </c>
      <c r="J102" s="3">
        <v>65</v>
      </c>
      <c r="K102" s="3" t="str">
        <f t="shared" si="1"/>
        <v>Hold</v>
      </c>
      <c r="L102" s="3" t="s">
        <v>560</v>
      </c>
      <c r="M102" s="3" t="s">
        <v>562</v>
      </c>
      <c r="N102" s="14">
        <v>46190</v>
      </c>
    </row>
    <row r="103" spans="1:14" x14ac:dyDescent="0.2">
      <c r="A103" s="3" t="s">
        <v>557</v>
      </c>
      <c r="B103" s="3" t="s">
        <v>558</v>
      </c>
      <c r="C103" s="3" t="s">
        <v>559</v>
      </c>
      <c r="D103" s="3" t="s">
        <v>370</v>
      </c>
      <c r="E103" s="3" t="s">
        <v>64</v>
      </c>
      <c r="F103" s="3" t="s">
        <v>89</v>
      </c>
      <c r="G103" s="3">
        <v>25</v>
      </c>
      <c r="H103" s="3">
        <v>22</v>
      </c>
      <c r="I103" s="3">
        <v>22</v>
      </c>
      <c r="J103" s="3">
        <v>3</v>
      </c>
      <c r="K103" s="3" t="str">
        <f t="shared" si="1"/>
        <v>Hold</v>
      </c>
      <c r="L103" s="3" t="s">
        <v>560</v>
      </c>
      <c r="M103" s="3" t="s">
        <v>566</v>
      </c>
      <c r="N103" s="14">
        <v>46190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F78-CC39-6E43-A49D-4F1D1F2C7A50}">
  <dimension ref="A1:T22"/>
  <sheetViews>
    <sheetView topLeftCell="P1" workbookViewId="0">
      <selection activeCell="T9" sqref="T9"/>
    </sheetView>
  </sheetViews>
  <sheetFormatPr baseColWidth="10" defaultRowHeight="16" x14ac:dyDescent="0.2"/>
  <cols>
    <col min="1" max="1" width="10.6640625" style="3" bestFit="1" customWidth="1"/>
    <col min="2" max="2" width="12.6640625" style="3" bestFit="1" customWidth="1"/>
    <col min="3" max="3" width="13.1640625" style="3" bestFit="1" customWidth="1"/>
    <col min="4" max="4" width="11.6640625" style="3" bestFit="1" customWidth="1"/>
    <col min="5" max="5" width="30" style="3" bestFit="1" customWidth="1"/>
    <col min="6" max="6" width="33.33203125" style="3" bestFit="1" customWidth="1"/>
    <col min="7" max="7" width="22.1640625" style="3" bestFit="1" customWidth="1"/>
    <col min="8" max="8" width="11.6640625" style="3" bestFit="1" customWidth="1"/>
    <col min="9" max="9" width="16.6640625" style="3" bestFit="1" customWidth="1"/>
    <col min="10" max="10" width="10" style="3" bestFit="1" customWidth="1"/>
    <col min="11" max="11" width="10.83203125" style="3"/>
    <col min="12" max="12" width="12.33203125" style="3" bestFit="1" customWidth="1"/>
    <col min="13" max="13" width="15.33203125" style="3" bestFit="1" customWidth="1"/>
    <col min="14" max="14" width="29.33203125" style="3" bestFit="1" customWidth="1"/>
    <col min="15" max="15" width="36" style="3" bestFit="1" customWidth="1"/>
    <col min="16" max="16" width="54.33203125" style="3" bestFit="1" customWidth="1"/>
    <col min="17" max="17" width="21" style="3" bestFit="1" customWidth="1"/>
    <col min="18" max="18" width="15.5" style="3" bestFit="1" customWidth="1"/>
    <col min="19" max="19" width="35.33203125" style="3" bestFit="1" customWidth="1"/>
    <col min="20" max="16384" width="10.83203125" style="3"/>
  </cols>
  <sheetData>
    <row r="1" spans="1:20" x14ac:dyDescent="0.2">
      <c r="A1" s="15" t="s">
        <v>567</v>
      </c>
      <c r="B1" s="15" t="s">
        <v>541</v>
      </c>
      <c r="C1" s="15" t="s">
        <v>542</v>
      </c>
      <c r="D1" s="15" t="s">
        <v>540</v>
      </c>
      <c r="E1" s="15" t="s">
        <v>298</v>
      </c>
      <c r="F1" s="15" t="s">
        <v>297</v>
      </c>
      <c r="G1" s="15" t="s">
        <v>3</v>
      </c>
      <c r="H1" s="15" t="s">
        <v>523</v>
      </c>
      <c r="I1" s="15" t="s">
        <v>525</v>
      </c>
      <c r="J1" s="15" t="s">
        <v>543</v>
      </c>
      <c r="K1" s="15" t="s">
        <v>544</v>
      </c>
      <c r="L1" s="15" t="s">
        <v>546</v>
      </c>
      <c r="M1" s="15" t="s">
        <v>568</v>
      </c>
      <c r="N1" s="15" t="s">
        <v>547</v>
      </c>
      <c r="O1" s="15" t="s">
        <v>569</v>
      </c>
      <c r="P1" s="15" t="s">
        <v>570</v>
      </c>
      <c r="Q1" s="15" t="s">
        <v>571</v>
      </c>
      <c r="R1" s="15" t="s">
        <v>572</v>
      </c>
      <c r="S1" s="15" t="s">
        <v>573</v>
      </c>
      <c r="T1" s="16"/>
    </row>
    <row r="2" spans="1:20" x14ac:dyDescent="0.2">
      <c r="A2" s="3" t="s">
        <v>574</v>
      </c>
      <c r="B2" s="3" t="s">
        <v>558</v>
      </c>
      <c r="C2" s="3" t="s">
        <v>559</v>
      </c>
      <c r="D2" s="3" t="s">
        <v>549</v>
      </c>
      <c r="E2" s="3" t="s">
        <v>310</v>
      </c>
      <c r="F2" s="3" t="s">
        <v>14</v>
      </c>
      <c r="G2" s="3" t="s">
        <v>46</v>
      </c>
      <c r="H2" s="3">
        <v>400</v>
      </c>
      <c r="I2" s="3">
        <v>260</v>
      </c>
      <c r="J2" s="3">
        <v>260</v>
      </c>
      <c r="K2" s="3">
        <v>140</v>
      </c>
      <c r="L2" s="3" t="s">
        <v>560</v>
      </c>
      <c r="M2" s="3" t="s">
        <v>372</v>
      </c>
      <c r="N2" s="3" t="s">
        <v>562</v>
      </c>
      <c r="O2" s="3" t="s">
        <v>591</v>
      </c>
      <c r="P2" s="3" t="s">
        <v>592</v>
      </c>
      <c r="Q2" s="14">
        <v>46188</v>
      </c>
      <c r="R2" s="3" t="s">
        <v>593</v>
      </c>
      <c r="S2" s="3" t="s">
        <v>594</v>
      </c>
    </row>
    <row r="3" spans="1:20" x14ac:dyDescent="0.2">
      <c r="A3" s="3" t="s">
        <v>575</v>
      </c>
      <c r="B3" s="3" t="s">
        <v>558</v>
      </c>
      <c r="C3" s="3" t="s">
        <v>559</v>
      </c>
      <c r="D3" s="3" t="s">
        <v>549</v>
      </c>
      <c r="E3" s="3" t="s">
        <v>312</v>
      </c>
      <c r="F3" s="3" t="s">
        <v>14</v>
      </c>
      <c r="G3" s="3" t="s">
        <v>53</v>
      </c>
      <c r="H3" s="3">
        <v>100</v>
      </c>
      <c r="I3" s="3">
        <v>65</v>
      </c>
      <c r="J3" s="3">
        <v>65</v>
      </c>
      <c r="K3" s="3">
        <v>35</v>
      </c>
      <c r="L3" s="3" t="s">
        <v>560</v>
      </c>
      <c r="M3" s="3" t="s">
        <v>372</v>
      </c>
      <c r="N3" s="3" t="s">
        <v>562</v>
      </c>
      <c r="O3" s="3" t="s">
        <v>595</v>
      </c>
      <c r="P3" s="3" t="s">
        <v>596</v>
      </c>
      <c r="Q3" s="14">
        <v>46189</v>
      </c>
      <c r="R3" s="3" t="s">
        <v>593</v>
      </c>
      <c r="S3" s="3" t="s">
        <v>597</v>
      </c>
    </row>
    <row r="4" spans="1:20" x14ac:dyDescent="0.2">
      <c r="A4" s="3" t="s">
        <v>576</v>
      </c>
      <c r="B4" s="3" t="s">
        <v>558</v>
      </c>
      <c r="C4" s="3" t="s">
        <v>559</v>
      </c>
      <c r="D4" s="3" t="s">
        <v>549</v>
      </c>
      <c r="E4" s="3" t="s">
        <v>312</v>
      </c>
      <c r="F4" s="3" t="s">
        <v>14</v>
      </c>
      <c r="G4" s="3" t="s">
        <v>56</v>
      </c>
      <c r="H4" s="3">
        <v>200</v>
      </c>
      <c r="I4" s="3">
        <v>130</v>
      </c>
      <c r="J4" s="3">
        <v>130</v>
      </c>
      <c r="K4" s="3">
        <v>70</v>
      </c>
      <c r="L4" s="3" t="s">
        <v>560</v>
      </c>
      <c r="M4" s="3" t="s">
        <v>372</v>
      </c>
      <c r="N4" s="3" t="s">
        <v>563</v>
      </c>
      <c r="O4" s="3" t="s">
        <v>598</v>
      </c>
      <c r="P4" s="3" t="s">
        <v>599</v>
      </c>
      <c r="Q4" s="14">
        <v>46189</v>
      </c>
      <c r="R4" s="3" t="s">
        <v>593</v>
      </c>
      <c r="S4" s="3" t="s">
        <v>600</v>
      </c>
    </row>
    <row r="5" spans="1:20" x14ac:dyDescent="0.2">
      <c r="A5" s="3" t="s">
        <v>577</v>
      </c>
      <c r="B5" s="3" t="s">
        <v>558</v>
      </c>
      <c r="C5" s="3" t="s">
        <v>559</v>
      </c>
      <c r="D5" s="3" t="s">
        <v>549</v>
      </c>
      <c r="E5" s="3" t="s">
        <v>313</v>
      </c>
      <c r="F5" s="3" t="s">
        <v>14</v>
      </c>
      <c r="G5" s="3" t="s">
        <v>58</v>
      </c>
      <c r="H5" s="3">
        <v>25</v>
      </c>
      <c r="I5" s="3">
        <v>14</v>
      </c>
      <c r="J5" s="3">
        <v>14</v>
      </c>
      <c r="K5" s="3">
        <v>11</v>
      </c>
      <c r="L5" s="3" t="s">
        <v>560</v>
      </c>
      <c r="M5" s="3" t="s">
        <v>372</v>
      </c>
      <c r="N5" s="3" t="s">
        <v>562</v>
      </c>
      <c r="O5" s="3" t="s">
        <v>601</v>
      </c>
      <c r="P5" s="3" t="s">
        <v>602</v>
      </c>
      <c r="Q5" s="14">
        <v>46188</v>
      </c>
      <c r="R5" s="3" t="s">
        <v>593</v>
      </c>
      <c r="S5" s="3" t="s">
        <v>603</v>
      </c>
    </row>
    <row r="6" spans="1:20" x14ac:dyDescent="0.2">
      <c r="A6" s="3" t="s">
        <v>578</v>
      </c>
      <c r="B6" s="3" t="s">
        <v>558</v>
      </c>
      <c r="C6" s="3" t="s">
        <v>559</v>
      </c>
      <c r="D6" s="3" t="s">
        <v>550</v>
      </c>
      <c r="E6" s="3" t="s">
        <v>316</v>
      </c>
      <c r="F6" s="3" t="s">
        <v>64</v>
      </c>
      <c r="G6" s="3" t="s">
        <v>66</v>
      </c>
      <c r="H6" s="3">
        <v>25</v>
      </c>
      <c r="I6" s="3">
        <v>19</v>
      </c>
      <c r="J6" s="3">
        <v>19</v>
      </c>
      <c r="K6" s="3">
        <v>6</v>
      </c>
      <c r="L6" s="3" t="s">
        <v>560</v>
      </c>
      <c r="M6" s="3" t="s">
        <v>371</v>
      </c>
      <c r="N6" s="3" t="s">
        <v>564</v>
      </c>
      <c r="O6" s="3" t="s">
        <v>604</v>
      </c>
      <c r="P6" s="3" t="s">
        <v>605</v>
      </c>
      <c r="Q6" s="14">
        <v>46188</v>
      </c>
      <c r="R6" s="3" t="s">
        <v>593</v>
      </c>
      <c r="S6" s="3" t="s">
        <v>606</v>
      </c>
    </row>
    <row r="7" spans="1:20" x14ac:dyDescent="0.2">
      <c r="A7" s="3" t="s">
        <v>579</v>
      </c>
      <c r="B7" s="3" t="s">
        <v>558</v>
      </c>
      <c r="C7" s="3" t="s">
        <v>559</v>
      </c>
      <c r="D7" s="3" t="s">
        <v>551</v>
      </c>
      <c r="E7" s="3" t="s">
        <v>320</v>
      </c>
      <c r="F7" s="3" t="s">
        <v>93</v>
      </c>
      <c r="G7" s="3" t="s">
        <v>95</v>
      </c>
      <c r="H7" s="3">
        <v>25</v>
      </c>
      <c r="I7" s="3">
        <v>24</v>
      </c>
      <c r="J7" s="3">
        <v>24</v>
      </c>
      <c r="K7" s="3">
        <v>1</v>
      </c>
      <c r="L7" s="3" t="s">
        <v>560</v>
      </c>
      <c r="M7" s="3" t="s">
        <v>373</v>
      </c>
      <c r="N7" s="3" t="s">
        <v>562</v>
      </c>
      <c r="O7" s="3" t="s">
        <v>607</v>
      </c>
      <c r="P7" s="3" t="s">
        <v>608</v>
      </c>
      <c r="Q7" s="14">
        <v>46187</v>
      </c>
      <c r="R7" s="3" t="s">
        <v>609</v>
      </c>
      <c r="S7" s="3" t="s">
        <v>610</v>
      </c>
    </row>
    <row r="8" spans="1:20" x14ac:dyDescent="0.2">
      <c r="A8" s="3" t="s">
        <v>580</v>
      </c>
      <c r="B8" s="3" t="s">
        <v>558</v>
      </c>
      <c r="C8" s="3" t="s">
        <v>559</v>
      </c>
      <c r="D8" s="3" t="s">
        <v>553</v>
      </c>
      <c r="E8" s="3" t="s">
        <v>336</v>
      </c>
      <c r="F8" s="3" t="s">
        <v>117</v>
      </c>
      <c r="G8" s="3" t="s">
        <v>123</v>
      </c>
      <c r="H8" s="3">
        <v>25</v>
      </c>
      <c r="I8" s="3">
        <v>19</v>
      </c>
      <c r="J8" s="3">
        <v>19</v>
      </c>
      <c r="K8" s="3">
        <v>6</v>
      </c>
      <c r="L8" s="3" t="s">
        <v>560</v>
      </c>
      <c r="M8" s="3" t="s">
        <v>371</v>
      </c>
      <c r="N8" s="3" t="s">
        <v>565</v>
      </c>
      <c r="O8" s="3" t="s">
        <v>611</v>
      </c>
      <c r="P8" s="3" t="s">
        <v>612</v>
      </c>
      <c r="Q8" s="14">
        <v>46189</v>
      </c>
      <c r="R8" s="3" t="s">
        <v>593</v>
      </c>
      <c r="S8" s="3" t="s">
        <v>613</v>
      </c>
    </row>
    <row r="9" spans="1:20" x14ac:dyDescent="0.2">
      <c r="A9" s="3" t="s">
        <v>581</v>
      </c>
      <c r="B9" s="3" t="s">
        <v>558</v>
      </c>
      <c r="C9" s="3" t="s">
        <v>559</v>
      </c>
      <c r="D9" s="3" t="s">
        <v>554</v>
      </c>
      <c r="E9" s="3" t="s">
        <v>344</v>
      </c>
      <c r="F9" s="3" t="s">
        <v>135</v>
      </c>
      <c r="G9" s="3" t="s">
        <v>145</v>
      </c>
      <c r="H9" s="3">
        <v>200</v>
      </c>
      <c r="I9" s="3">
        <v>80</v>
      </c>
      <c r="J9" s="3">
        <v>80</v>
      </c>
      <c r="K9" s="3">
        <v>120</v>
      </c>
      <c r="L9" s="3" t="s">
        <v>560</v>
      </c>
      <c r="M9" s="3" t="s">
        <v>372</v>
      </c>
      <c r="N9" s="3" t="s">
        <v>566</v>
      </c>
      <c r="O9" s="3" t="s">
        <v>614</v>
      </c>
      <c r="P9" s="3" t="s">
        <v>615</v>
      </c>
      <c r="Q9" s="14">
        <v>46187</v>
      </c>
      <c r="R9" s="3" t="s">
        <v>609</v>
      </c>
      <c r="S9" s="3" t="s">
        <v>616</v>
      </c>
    </row>
    <row r="10" spans="1:20" x14ac:dyDescent="0.2">
      <c r="A10" s="3" t="s">
        <v>582</v>
      </c>
      <c r="B10" s="3" t="s">
        <v>558</v>
      </c>
      <c r="C10" s="3" t="s">
        <v>559</v>
      </c>
      <c r="D10" s="3" t="s">
        <v>555</v>
      </c>
      <c r="E10" s="3" t="s">
        <v>347</v>
      </c>
      <c r="F10" s="3" t="s">
        <v>147</v>
      </c>
      <c r="G10" s="3" t="s">
        <v>154</v>
      </c>
      <c r="H10" s="3">
        <v>100</v>
      </c>
      <c r="I10" s="3">
        <v>62</v>
      </c>
      <c r="J10" s="3">
        <v>62</v>
      </c>
      <c r="K10" s="3">
        <v>38</v>
      </c>
      <c r="L10" s="3" t="s">
        <v>560</v>
      </c>
      <c r="M10" s="3" t="s">
        <v>372</v>
      </c>
      <c r="N10" s="3" t="s">
        <v>562</v>
      </c>
      <c r="O10" s="3" t="s">
        <v>591</v>
      </c>
      <c r="P10" s="3" t="s">
        <v>617</v>
      </c>
      <c r="Q10" s="14">
        <v>46189</v>
      </c>
      <c r="R10" s="3" t="s">
        <v>593</v>
      </c>
      <c r="S10" s="3" t="s">
        <v>618</v>
      </c>
    </row>
    <row r="11" spans="1:20" x14ac:dyDescent="0.2">
      <c r="A11" s="3" t="s">
        <v>583</v>
      </c>
      <c r="B11" s="3" t="s">
        <v>558</v>
      </c>
      <c r="C11" s="3" t="s">
        <v>559</v>
      </c>
      <c r="D11" s="3" t="s">
        <v>556</v>
      </c>
      <c r="E11" s="3" t="s">
        <v>352</v>
      </c>
      <c r="F11" s="3" t="s">
        <v>14</v>
      </c>
      <c r="G11" s="3" t="s">
        <v>32</v>
      </c>
      <c r="H11" s="3">
        <v>600</v>
      </c>
      <c r="I11" s="3">
        <v>480</v>
      </c>
      <c r="J11" s="3">
        <v>480</v>
      </c>
      <c r="K11" s="3">
        <v>120</v>
      </c>
      <c r="L11" s="3" t="s">
        <v>560</v>
      </c>
      <c r="M11" s="3" t="s">
        <v>372</v>
      </c>
      <c r="N11" s="3" t="s">
        <v>562</v>
      </c>
      <c r="O11" s="3" t="s">
        <v>619</v>
      </c>
      <c r="P11" s="3" t="s">
        <v>620</v>
      </c>
      <c r="Q11" s="14">
        <v>46188</v>
      </c>
      <c r="R11" s="3" t="s">
        <v>593</v>
      </c>
      <c r="S11" s="3" t="s">
        <v>621</v>
      </c>
    </row>
    <row r="12" spans="1:20" x14ac:dyDescent="0.2">
      <c r="A12" s="3" t="s">
        <v>584</v>
      </c>
      <c r="B12" s="3" t="s">
        <v>558</v>
      </c>
      <c r="C12" s="3" t="s">
        <v>559</v>
      </c>
      <c r="D12" s="3" t="s">
        <v>556</v>
      </c>
      <c r="E12" s="3" t="s">
        <v>352</v>
      </c>
      <c r="F12" s="3" t="s">
        <v>14</v>
      </c>
      <c r="G12" s="3" t="s">
        <v>33</v>
      </c>
      <c r="H12" s="3">
        <v>400</v>
      </c>
      <c r="I12" s="3">
        <v>320</v>
      </c>
      <c r="J12" s="3">
        <v>320</v>
      </c>
      <c r="K12" s="3">
        <v>80</v>
      </c>
      <c r="L12" s="3" t="s">
        <v>560</v>
      </c>
      <c r="M12" s="3" t="s">
        <v>372</v>
      </c>
      <c r="N12" s="3" t="s">
        <v>562</v>
      </c>
      <c r="O12" s="3" t="s">
        <v>619</v>
      </c>
      <c r="P12" s="3" t="s">
        <v>622</v>
      </c>
      <c r="Q12" s="14">
        <v>46188</v>
      </c>
      <c r="R12" s="3" t="s">
        <v>593</v>
      </c>
      <c r="S12" s="3" t="s">
        <v>621</v>
      </c>
    </row>
    <row r="13" spans="1:20" x14ac:dyDescent="0.2">
      <c r="A13" s="3" t="s">
        <v>585</v>
      </c>
      <c r="B13" s="3" t="s">
        <v>558</v>
      </c>
      <c r="C13" s="3" t="s">
        <v>559</v>
      </c>
      <c r="D13" s="3" t="s">
        <v>556</v>
      </c>
      <c r="E13" s="3" t="s">
        <v>354</v>
      </c>
      <c r="F13" s="3" t="s">
        <v>14</v>
      </c>
      <c r="G13" s="3" t="s">
        <v>36</v>
      </c>
      <c r="H13" s="3">
        <v>300</v>
      </c>
      <c r="I13" s="3">
        <v>230</v>
      </c>
      <c r="J13" s="3">
        <v>230</v>
      </c>
      <c r="K13" s="3">
        <v>70</v>
      </c>
      <c r="L13" s="3" t="s">
        <v>560</v>
      </c>
      <c r="M13" s="3" t="s">
        <v>372</v>
      </c>
      <c r="N13" s="3" t="s">
        <v>562</v>
      </c>
      <c r="O13" s="3" t="s">
        <v>623</v>
      </c>
      <c r="P13" s="3" t="s">
        <v>624</v>
      </c>
      <c r="Q13" s="14">
        <v>46189</v>
      </c>
      <c r="R13" s="3" t="s">
        <v>593</v>
      </c>
      <c r="S13" s="3" t="s">
        <v>625</v>
      </c>
    </row>
    <row r="14" spans="1:20" x14ac:dyDescent="0.2">
      <c r="A14" s="3" t="s">
        <v>586</v>
      </c>
      <c r="B14" s="3" t="s">
        <v>558</v>
      </c>
      <c r="C14" s="3" t="s">
        <v>559</v>
      </c>
      <c r="D14" s="3" t="s">
        <v>557</v>
      </c>
      <c r="E14" s="3" t="s">
        <v>358</v>
      </c>
      <c r="F14" s="3" t="s">
        <v>64</v>
      </c>
      <c r="G14" s="3" t="s">
        <v>70</v>
      </c>
      <c r="H14" s="3">
        <v>25</v>
      </c>
      <c r="I14" s="3">
        <v>24</v>
      </c>
      <c r="J14" s="3">
        <v>24</v>
      </c>
      <c r="K14" s="3">
        <v>1</v>
      </c>
      <c r="L14" s="3" t="s">
        <v>560</v>
      </c>
      <c r="M14" s="3" t="s">
        <v>373</v>
      </c>
      <c r="N14" s="3" t="s">
        <v>562</v>
      </c>
      <c r="O14" s="3" t="s">
        <v>626</v>
      </c>
      <c r="P14" s="3" t="s">
        <v>627</v>
      </c>
      <c r="Q14" s="14">
        <v>46187</v>
      </c>
      <c r="R14" s="3" t="s">
        <v>609</v>
      </c>
      <c r="S14" s="3" t="s">
        <v>628</v>
      </c>
    </row>
    <row r="15" spans="1:20" x14ac:dyDescent="0.2">
      <c r="A15" s="3" t="s">
        <v>587</v>
      </c>
      <c r="B15" s="3" t="s">
        <v>558</v>
      </c>
      <c r="C15" s="3" t="s">
        <v>559</v>
      </c>
      <c r="D15" s="3" t="s">
        <v>557</v>
      </c>
      <c r="E15" s="3" t="s">
        <v>361</v>
      </c>
      <c r="F15" s="3" t="s">
        <v>64</v>
      </c>
      <c r="G15" s="3" t="s">
        <v>73</v>
      </c>
      <c r="H15" s="3">
        <v>50</v>
      </c>
      <c r="I15" s="3">
        <v>41</v>
      </c>
      <c r="J15" s="3">
        <v>41</v>
      </c>
      <c r="K15" s="3">
        <v>9</v>
      </c>
      <c r="L15" s="3" t="s">
        <v>560</v>
      </c>
      <c r="M15" s="3" t="s">
        <v>372</v>
      </c>
      <c r="N15" s="3" t="s">
        <v>562</v>
      </c>
      <c r="O15" s="3" t="s">
        <v>629</v>
      </c>
      <c r="P15" s="3" t="s">
        <v>630</v>
      </c>
      <c r="Q15" s="14">
        <v>46188</v>
      </c>
      <c r="R15" s="3" t="s">
        <v>593</v>
      </c>
      <c r="S15" s="3" t="s">
        <v>631</v>
      </c>
    </row>
    <row r="16" spans="1:20" x14ac:dyDescent="0.2">
      <c r="A16" s="3" t="s">
        <v>588</v>
      </c>
      <c r="B16" s="3" t="s">
        <v>558</v>
      </c>
      <c r="C16" s="3" t="s">
        <v>559</v>
      </c>
      <c r="D16" s="3" t="s">
        <v>557</v>
      </c>
      <c r="E16" s="3" t="s">
        <v>363</v>
      </c>
      <c r="F16" s="3" t="s">
        <v>64</v>
      </c>
      <c r="G16" s="3" t="s">
        <v>75</v>
      </c>
      <c r="H16" s="3">
        <v>25</v>
      </c>
      <c r="I16" s="3">
        <v>16</v>
      </c>
      <c r="J16" s="3">
        <v>16</v>
      </c>
      <c r="K16" s="3">
        <v>9</v>
      </c>
      <c r="L16" s="3" t="s">
        <v>560</v>
      </c>
      <c r="M16" s="3" t="s">
        <v>371</v>
      </c>
      <c r="N16" s="3" t="s">
        <v>562</v>
      </c>
      <c r="O16" s="3" t="s">
        <v>632</v>
      </c>
      <c r="P16" s="3" t="s">
        <v>633</v>
      </c>
      <c r="Q16" s="14">
        <v>46188</v>
      </c>
      <c r="R16" s="3" t="s">
        <v>593</v>
      </c>
      <c r="S16" s="3" t="s">
        <v>634</v>
      </c>
    </row>
    <row r="17" spans="1:19" x14ac:dyDescent="0.2">
      <c r="A17" s="3" t="s">
        <v>589</v>
      </c>
      <c r="B17" s="3" t="s">
        <v>558</v>
      </c>
      <c r="C17" s="3" t="s">
        <v>559</v>
      </c>
      <c r="D17" s="3" t="s">
        <v>557</v>
      </c>
      <c r="E17" s="3" t="s">
        <v>369</v>
      </c>
      <c r="F17" s="3" t="s">
        <v>64</v>
      </c>
      <c r="G17" s="3" t="s">
        <v>88</v>
      </c>
      <c r="H17" s="3">
        <v>100</v>
      </c>
      <c r="I17" s="3">
        <v>35</v>
      </c>
      <c r="J17" s="3">
        <v>35</v>
      </c>
      <c r="K17" s="3">
        <v>65</v>
      </c>
      <c r="L17" s="3" t="s">
        <v>560</v>
      </c>
      <c r="M17" s="3" t="s">
        <v>371</v>
      </c>
      <c r="N17" s="3" t="s">
        <v>562</v>
      </c>
      <c r="O17" s="3" t="s">
        <v>635</v>
      </c>
      <c r="P17" s="3" t="s">
        <v>636</v>
      </c>
      <c r="Q17" s="14">
        <v>46189</v>
      </c>
      <c r="R17" s="3" t="s">
        <v>593</v>
      </c>
      <c r="S17" s="3" t="s">
        <v>637</v>
      </c>
    </row>
    <row r="18" spans="1:19" x14ac:dyDescent="0.2">
      <c r="A18" s="3" t="s">
        <v>590</v>
      </c>
      <c r="B18" s="3" t="s">
        <v>558</v>
      </c>
      <c r="C18" s="3" t="s">
        <v>559</v>
      </c>
      <c r="D18" s="3" t="s">
        <v>557</v>
      </c>
      <c r="E18" s="3" t="s">
        <v>370</v>
      </c>
      <c r="F18" s="3" t="s">
        <v>64</v>
      </c>
      <c r="G18" s="3" t="s">
        <v>89</v>
      </c>
      <c r="H18" s="3">
        <v>25</v>
      </c>
      <c r="I18" s="3">
        <v>22</v>
      </c>
      <c r="J18" s="3">
        <v>22</v>
      </c>
      <c r="K18" s="3">
        <v>3</v>
      </c>
      <c r="L18" s="3" t="s">
        <v>560</v>
      </c>
      <c r="M18" s="3" t="s">
        <v>373</v>
      </c>
      <c r="N18" s="3" t="s">
        <v>566</v>
      </c>
      <c r="O18" s="3" t="s">
        <v>638</v>
      </c>
      <c r="P18" s="3" t="s">
        <v>639</v>
      </c>
      <c r="Q18" s="14">
        <v>46187</v>
      </c>
      <c r="R18" s="3" t="s">
        <v>609</v>
      </c>
      <c r="S18" s="3" t="s">
        <v>640</v>
      </c>
    </row>
    <row r="22" spans="1:19" x14ac:dyDescent="0.2">
      <c r="I22" s="3" t="s">
        <v>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3B57-EA06-3349-9AF8-AF846D47B724}">
  <dimension ref="A1:M103"/>
  <sheetViews>
    <sheetView tabSelected="1" topLeftCell="B76" workbookViewId="0">
      <selection activeCell="I106" sqref="I106"/>
    </sheetView>
  </sheetViews>
  <sheetFormatPr baseColWidth="10" defaultRowHeight="16" x14ac:dyDescent="0.2"/>
  <cols>
    <col min="1" max="1" width="29.83203125" style="3" bestFit="1" customWidth="1"/>
    <col min="2" max="2" width="33.33203125" style="3" bestFit="1" customWidth="1"/>
    <col min="3" max="3" width="28.83203125" style="3" bestFit="1" customWidth="1"/>
    <col min="4" max="4" width="16.83203125" style="3" bestFit="1" customWidth="1"/>
    <col min="5" max="5" width="13.5" style="3" bestFit="1" customWidth="1"/>
    <col min="6" max="6" width="12.6640625" style="3" bestFit="1" customWidth="1"/>
    <col min="7" max="7" width="17.83203125" style="4" bestFit="1" customWidth="1"/>
    <col min="8" max="8" width="19.33203125" style="3" bestFit="1" customWidth="1"/>
    <col min="9" max="9" width="15.33203125" style="3" bestFit="1" customWidth="1"/>
    <col min="10" max="10" width="12.5" style="3" bestFit="1" customWidth="1"/>
    <col min="11" max="11" width="14.1640625" style="3" bestFit="1" customWidth="1"/>
    <col min="12" max="12" width="12.6640625" style="3" bestFit="1" customWidth="1"/>
    <col min="13" max="13" width="54.6640625" style="3" bestFit="1" customWidth="1"/>
    <col min="14" max="16384" width="10.83203125" style="3"/>
  </cols>
  <sheetData>
    <row r="1" spans="1:13" x14ac:dyDescent="0.2">
      <c r="A1" s="9" t="s">
        <v>3</v>
      </c>
      <c r="B1" s="9" t="s">
        <v>297</v>
      </c>
      <c r="C1" s="9" t="s">
        <v>377</v>
      </c>
      <c r="D1" s="9" t="s">
        <v>435</v>
      </c>
      <c r="E1" s="9" t="s">
        <v>641</v>
      </c>
      <c r="F1" s="9" t="s">
        <v>642</v>
      </c>
      <c r="G1" s="10" t="s">
        <v>643</v>
      </c>
      <c r="H1" s="9" t="s">
        <v>387</v>
      </c>
      <c r="I1" s="9" t="s">
        <v>644</v>
      </c>
      <c r="J1" s="9" t="s">
        <v>645</v>
      </c>
      <c r="K1" s="9" t="s">
        <v>646</v>
      </c>
      <c r="L1" s="9" t="s">
        <v>647</v>
      </c>
      <c r="M1" s="9" t="s">
        <v>648</v>
      </c>
    </row>
    <row r="2" spans="1:13" x14ac:dyDescent="0.2">
      <c r="A2" s="5" t="s">
        <v>15</v>
      </c>
      <c r="B2" s="5" t="s">
        <v>14</v>
      </c>
      <c r="C2" s="5" t="s">
        <v>389</v>
      </c>
      <c r="D2" s="5" t="s">
        <v>373</v>
      </c>
      <c r="E2" s="3">
        <v>3</v>
      </c>
      <c r="F2" s="3">
        <v>1</v>
      </c>
      <c r="G2" s="7">
        <v>3</v>
      </c>
      <c r="H2" s="5">
        <v>3</v>
      </c>
      <c r="I2" s="3">
        <v>5</v>
      </c>
      <c r="J2" s="3">
        <v>1</v>
      </c>
      <c r="K2" s="3">
        <f>ROUND((E2*0.15)+(F2*0.25)+(G2*0.2)+(H2*0.15)+(I2*0.15)+(J2*0.1),2)</f>
        <v>2.6</v>
      </c>
      <c r="L2" s="3" t="str">
        <f>IF(K2&gt;=4.25,"Critical",IF(K2&gt;=3.5,"High",IF(K2&gt;=2.5,"Medium","Low")))</f>
        <v>Medium</v>
      </c>
      <c r="M2" s="3" t="str">
        <f>IF(L2="Critical","Escalate immediately, expedite supply, and review backup source",IF(L2="High","Create recovery plan and monitor daily",IF(L2="Medium","Monitor weekly and confirm replenishment plan","No immediate action required")))</f>
        <v>Monitor weekly and confirm replenishment plan</v>
      </c>
    </row>
    <row r="3" spans="1:13" x14ac:dyDescent="0.2">
      <c r="A3" s="5" t="s">
        <v>18</v>
      </c>
      <c r="B3" s="5" t="s">
        <v>14</v>
      </c>
      <c r="C3" s="5" t="s">
        <v>389</v>
      </c>
      <c r="D3" s="5" t="s">
        <v>373</v>
      </c>
      <c r="E3" s="3">
        <v>3</v>
      </c>
      <c r="F3" s="3">
        <v>2</v>
      </c>
      <c r="G3" s="7">
        <v>3</v>
      </c>
      <c r="H3" s="5">
        <v>3</v>
      </c>
      <c r="I3" s="3">
        <v>5</v>
      </c>
      <c r="J3" s="3">
        <v>1</v>
      </c>
      <c r="K3" s="3">
        <f t="shared" ref="K3:K66" si="0">ROUND((E3*0.15)+(F3*0.25)+(G3*0.2)+(H3*0.15)+(I3*0.15)+(J3*0.1),2)</f>
        <v>2.85</v>
      </c>
      <c r="L3" s="3" t="str">
        <f t="shared" ref="L3:L66" si="1">IF(K3&gt;=4.25,"Critical",IF(K3&gt;=3.5,"High",IF(K3&gt;=2.5,"Medium","Low")))</f>
        <v>Medium</v>
      </c>
      <c r="M3" s="3" t="str">
        <f t="shared" ref="M3:M66" si="2">IF(L3="Critical","Escalate immediately, expedite supply, and review backup source",IF(L3="High","Create recovery plan and monitor daily",IF(L3="Medium","Monitor weekly and confirm replenishment plan","No immediate action required")))</f>
        <v>Monitor weekly and confirm replenishment plan</v>
      </c>
    </row>
    <row r="4" spans="1:13" x14ac:dyDescent="0.2">
      <c r="A4" s="5" t="s">
        <v>42</v>
      </c>
      <c r="B4" s="5" t="s">
        <v>14</v>
      </c>
      <c r="C4" s="5" t="s">
        <v>390</v>
      </c>
      <c r="D4" s="5" t="s">
        <v>372</v>
      </c>
      <c r="E4" s="3">
        <v>5</v>
      </c>
      <c r="F4" s="3">
        <v>3</v>
      </c>
      <c r="G4" s="7">
        <v>4</v>
      </c>
      <c r="H4" s="5">
        <v>5</v>
      </c>
      <c r="I4" s="3">
        <v>5</v>
      </c>
      <c r="J4" s="3">
        <v>1</v>
      </c>
      <c r="K4" s="3">
        <f t="shared" si="0"/>
        <v>3.9</v>
      </c>
      <c r="L4" s="3" t="str">
        <f t="shared" si="1"/>
        <v>High</v>
      </c>
      <c r="M4" s="3" t="str">
        <f t="shared" si="2"/>
        <v>Create recovery plan and monitor daily</v>
      </c>
    </row>
    <row r="5" spans="1:13" x14ac:dyDescent="0.2">
      <c r="A5" s="5" t="s">
        <v>43</v>
      </c>
      <c r="B5" s="5" t="s">
        <v>14</v>
      </c>
      <c r="C5" s="5" t="s">
        <v>390</v>
      </c>
      <c r="D5" s="5" t="s">
        <v>372</v>
      </c>
      <c r="E5" s="3">
        <v>4</v>
      </c>
      <c r="F5" s="3">
        <v>3</v>
      </c>
      <c r="G5" s="7">
        <v>4</v>
      </c>
      <c r="H5" s="5">
        <v>5</v>
      </c>
      <c r="I5" s="3">
        <v>5</v>
      </c>
      <c r="J5" s="3">
        <v>1</v>
      </c>
      <c r="K5" s="3">
        <f t="shared" si="0"/>
        <v>3.75</v>
      </c>
      <c r="L5" s="3" t="str">
        <f t="shared" si="1"/>
        <v>High</v>
      </c>
      <c r="M5" s="3" t="str">
        <f t="shared" si="2"/>
        <v>Create recovery plan and monitor daily</v>
      </c>
    </row>
    <row r="6" spans="1:13" x14ac:dyDescent="0.2">
      <c r="A6" s="5" t="s">
        <v>44</v>
      </c>
      <c r="B6" s="5" t="s">
        <v>14</v>
      </c>
      <c r="C6" s="5" t="s">
        <v>391</v>
      </c>
      <c r="D6" s="5" t="s">
        <v>372</v>
      </c>
      <c r="E6" s="3">
        <v>4</v>
      </c>
      <c r="F6" s="3">
        <v>1</v>
      </c>
      <c r="G6" s="7">
        <v>4</v>
      </c>
      <c r="H6" s="5">
        <v>5</v>
      </c>
      <c r="I6" s="3">
        <v>5</v>
      </c>
      <c r="J6" s="3">
        <v>1</v>
      </c>
      <c r="K6" s="3">
        <f t="shared" si="0"/>
        <v>3.25</v>
      </c>
      <c r="L6" s="3" t="str">
        <f t="shared" si="1"/>
        <v>Medium</v>
      </c>
      <c r="M6" s="3" t="str">
        <f t="shared" si="2"/>
        <v>Monitor weekly and confirm replenishment plan</v>
      </c>
    </row>
    <row r="7" spans="1:13" x14ac:dyDescent="0.2">
      <c r="A7" s="5" t="s">
        <v>46</v>
      </c>
      <c r="B7" s="5" t="s">
        <v>14</v>
      </c>
      <c r="C7" s="5" t="s">
        <v>390</v>
      </c>
      <c r="D7" s="5" t="s">
        <v>372</v>
      </c>
      <c r="E7" s="3">
        <v>3</v>
      </c>
      <c r="F7" s="3">
        <v>1</v>
      </c>
      <c r="G7" s="7">
        <v>3</v>
      </c>
      <c r="H7" s="5">
        <v>3</v>
      </c>
      <c r="I7" s="3">
        <v>5</v>
      </c>
      <c r="J7" s="3">
        <v>1</v>
      </c>
      <c r="K7" s="3">
        <f t="shared" si="0"/>
        <v>2.6</v>
      </c>
      <c r="L7" s="3" t="str">
        <f t="shared" si="1"/>
        <v>Medium</v>
      </c>
      <c r="M7" s="3" t="str">
        <f t="shared" si="2"/>
        <v>Monitor weekly and confirm replenishment plan</v>
      </c>
    </row>
    <row r="8" spans="1:13" x14ac:dyDescent="0.2">
      <c r="A8" s="5" t="s">
        <v>48</v>
      </c>
      <c r="B8" s="5" t="s">
        <v>14</v>
      </c>
      <c r="C8" s="5" t="s">
        <v>392</v>
      </c>
      <c r="D8" s="5" t="s">
        <v>372</v>
      </c>
      <c r="E8" s="3">
        <v>4</v>
      </c>
      <c r="F8" s="3">
        <v>5</v>
      </c>
      <c r="G8" s="7">
        <v>3</v>
      </c>
      <c r="H8" s="5">
        <v>4</v>
      </c>
      <c r="I8" s="3">
        <v>5</v>
      </c>
      <c r="J8" s="3">
        <v>5</v>
      </c>
      <c r="K8" s="3">
        <f t="shared" si="0"/>
        <v>4.3</v>
      </c>
      <c r="L8" s="3" t="str">
        <f t="shared" si="1"/>
        <v>Critical</v>
      </c>
      <c r="M8" s="3" t="str">
        <f t="shared" si="2"/>
        <v>Escalate immediately, expedite supply, and review backup source</v>
      </c>
    </row>
    <row r="9" spans="1:13" x14ac:dyDescent="0.2">
      <c r="A9" s="5" t="s">
        <v>49</v>
      </c>
      <c r="B9" s="5" t="s">
        <v>14</v>
      </c>
      <c r="C9" s="5" t="s">
        <v>393</v>
      </c>
      <c r="D9" s="5" t="s">
        <v>373</v>
      </c>
      <c r="E9" s="3">
        <v>4</v>
      </c>
      <c r="F9" s="3">
        <v>1</v>
      </c>
      <c r="G9" s="7">
        <v>3</v>
      </c>
      <c r="H9" s="5">
        <v>4</v>
      </c>
      <c r="I9" s="3">
        <v>5</v>
      </c>
      <c r="J9" s="3">
        <v>1</v>
      </c>
      <c r="K9" s="3">
        <f t="shared" si="0"/>
        <v>2.9</v>
      </c>
      <c r="L9" s="3" t="str">
        <f t="shared" si="1"/>
        <v>Medium</v>
      </c>
      <c r="M9" s="3" t="str">
        <f t="shared" si="2"/>
        <v>Monitor weekly and confirm replenishment plan</v>
      </c>
    </row>
    <row r="10" spans="1:13" x14ac:dyDescent="0.2">
      <c r="A10" s="5" t="s">
        <v>50</v>
      </c>
      <c r="B10" s="5" t="s">
        <v>14</v>
      </c>
      <c r="C10" s="5" t="s">
        <v>394</v>
      </c>
      <c r="D10" s="5" t="s">
        <v>372</v>
      </c>
      <c r="E10" s="3">
        <v>4</v>
      </c>
      <c r="F10" s="3">
        <v>3</v>
      </c>
      <c r="G10" s="7">
        <v>4</v>
      </c>
      <c r="H10" s="5">
        <v>4</v>
      </c>
      <c r="I10" s="3">
        <v>5</v>
      </c>
      <c r="J10" s="3">
        <v>1</v>
      </c>
      <c r="K10" s="3">
        <f t="shared" si="0"/>
        <v>3.6</v>
      </c>
      <c r="L10" s="3" t="str">
        <f t="shared" si="1"/>
        <v>High</v>
      </c>
      <c r="M10" s="3" t="str">
        <f t="shared" si="2"/>
        <v>Create recovery plan and monitor daily</v>
      </c>
    </row>
    <row r="11" spans="1:13" x14ac:dyDescent="0.2">
      <c r="A11" s="5" t="s">
        <v>51</v>
      </c>
      <c r="B11" s="5" t="s">
        <v>14</v>
      </c>
      <c r="C11" s="5" t="s">
        <v>395</v>
      </c>
      <c r="D11" s="5" t="s">
        <v>372</v>
      </c>
      <c r="E11" s="3">
        <v>3</v>
      </c>
      <c r="F11" s="3">
        <v>1</v>
      </c>
      <c r="G11" s="7">
        <v>3</v>
      </c>
      <c r="H11" s="5">
        <v>3</v>
      </c>
      <c r="I11" s="3">
        <v>5</v>
      </c>
      <c r="J11" s="3">
        <v>1</v>
      </c>
      <c r="K11" s="3">
        <f t="shared" si="0"/>
        <v>2.6</v>
      </c>
      <c r="L11" s="3" t="str">
        <f t="shared" si="1"/>
        <v>Medium</v>
      </c>
      <c r="M11" s="3" t="str">
        <f t="shared" si="2"/>
        <v>Monitor weekly and confirm replenishment plan</v>
      </c>
    </row>
    <row r="12" spans="1:13" x14ac:dyDescent="0.2">
      <c r="A12" s="5" t="s">
        <v>52</v>
      </c>
      <c r="B12" s="5" t="s">
        <v>14</v>
      </c>
      <c r="C12" s="5" t="s">
        <v>393</v>
      </c>
      <c r="D12" s="5" t="s">
        <v>373</v>
      </c>
      <c r="E12" s="3">
        <v>4</v>
      </c>
      <c r="F12" s="3">
        <v>1</v>
      </c>
      <c r="G12" s="7">
        <v>3</v>
      </c>
      <c r="H12" s="5">
        <v>4</v>
      </c>
      <c r="I12" s="3">
        <v>5</v>
      </c>
      <c r="J12" s="3">
        <v>1</v>
      </c>
      <c r="K12" s="3">
        <f t="shared" si="0"/>
        <v>2.9</v>
      </c>
      <c r="L12" s="3" t="str">
        <f t="shared" si="1"/>
        <v>Medium</v>
      </c>
      <c r="M12" s="3" t="str">
        <f t="shared" si="2"/>
        <v>Monitor weekly and confirm replenishment plan</v>
      </c>
    </row>
    <row r="13" spans="1:13" x14ac:dyDescent="0.2">
      <c r="A13" s="5" t="s">
        <v>53</v>
      </c>
      <c r="B13" s="5" t="s">
        <v>14</v>
      </c>
      <c r="C13" s="5" t="s">
        <v>396</v>
      </c>
      <c r="D13" s="5" t="s">
        <v>372</v>
      </c>
      <c r="E13" s="3">
        <v>3</v>
      </c>
      <c r="F13" s="3">
        <v>1</v>
      </c>
      <c r="G13" s="7">
        <v>3</v>
      </c>
      <c r="H13" s="5">
        <v>4</v>
      </c>
      <c r="I13" s="3">
        <v>5</v>
      </c>
      <c r="J13" s="3">
        <v>1</v>
      </c>
      <c r="K13" s="3">
        <f t="shared" si="0"/>
        <v>2.75</v>
      </c>
      <c r="L13" s="3" t="str">
        <f t="shared" si="1"/>
        <v>Medium</v>
      </c>
      <c r="M13" s="3" t="str">
        <f t="shared" si="2"/>
        <v>Monitor weekly and confirm replenishment plan</v>
      </c>
    </row>
    <row r="14" spans="1:13" x14ac:dyDescent="0.2">
      <c r="A14" s="5" t="s">
        <v>55</v>
      </c>
      <c r="B14" s="5" t="s">
        <v>14</v>
      </c>
      <c r="C14" s="5" t="s">
        <v>397</v>
      </c>
      <c r="D14" s="5" t="s">
        <v>372</v>
      </c>
      <c r="E14" s="3">
        <v>3</v>
      </c>
      <c r="F14" s="3">
        <v>5</v>
      </c>
      <c r="G14" s="7">
        <v>3</v>
      </c>
      <c r="H14" s="5">
        <v>4</v>
      </c>
      <c r="I14" s="3">
        <v>5</v>
      </c>
      <c r="J14" s="3">
        <v>5</v>
      </c>
      <c r="K14" s="3">
        <f t="shared" si="0"/>
        <v>4.1500000000000004</v>
      </c>
      <c r="L14" s="3" t="str">
        <f t="shared" si="1"/>
        <v>High</v>
      </c>
      <c r="M14" s="3" t="str">
        <f t="shared" si="2"/>
        <v>Create recovery plan and monitor daily</v>
      </c>
    </row>
    <row r="15" spans="1:13" x14ac:dyDescent="0.2">
      <c r="A15" s="5" t="s">
        <v>56</v>
      </c>
      <c r="B15" s="5" t="s">
        <v>14</v>
      </c>
      <c r="C15" s="5" t="s">
        <v>397</v>
      </c>
      <c r="D15" s="5" t="s">
        <v>372</v>
      </c>
      <c r="E15" s="3">
        <v>3</v>
      </c>
      <c r="F15" s="3">
        <v>1</v>
      </c>
      <c r="G15" s="7">
        <v>3</v>
      </c>
      <c r="H15" s="5">
        <v>3</v>
      </c>
      <c r="I15" s="3">
        <v>5</v>
      </c>
      <c r="J15" s="3">
        <v>1</v>
      </c>
      <c r="K15" s="3">
        <f t="shared" si="0"/>
        <v>2.6</v>
      </c>
      <c r="L15" s="3" t="str">
        <f t="shared" si="1"/>
        <v>Medium</v>
      </c>
      <c r="M15" s="3" t="str">
        <f t="shared" si="2"/>
        <v>Monitor weekly and confirm replenishment plan</v>
      </c>
    </row>
    <row r="16" spans="1:13" x14ac:dyDescent="0.2">
      <c r="A16" s="5" t="s">
        <v>58</v>
      </c>
      <c r="B16" s="5" t="s">
        <v>14</v>
      </c>
      <c r="C16" s="5" t="s">
        <v>398</v>
      </c>
      <c r="D16" s="5" t="s">
        <v>372</v>
      </c>
      <c r="E16" s="3">
        <v>3</v>
      </c>
      <c r="F16" s="3">
        <v>5</v>
      </c>
      <c r="G16" s="7">
        <v>3</v>
      </c>
      <c r="H16" s="5">
        <v>4</v>
      </c>
      <c r="I16" s="3">
        <v>5</v>
      </c>
      <c r="J16" s="3">
        <v>5</v>
      </c>
      <c r="K16" s="3">
        <f t="shared" si="0"/>
        <v>4.1500000000000004</v>
      </c>
      <c r="L16" s="3" t="str">
        <f t="shared" si="1"/>
        <v>High</v>
      </c>
      <c r="M16" s="3" t="str">
        <f t="shared" si="2"/>
        <v>Create recovery plan and monitor daily</v>
      </c>
    </row>
    <row r="17" spans="1:13" x14ac:dyDescent="0.2">
      <c r="A17" s="5" t="s">
        <v>60</v>
      </c>
      <c r="B17" s="5" t="s">
        <v>14</v>
      </c>
      <c r="C17" s="5" t="s">
        <v>399</v>
      </c>
      <c r="D17" s="5" t="s">
        <v>372</v>
      </c>
      <c r="E17" s="3">
        <v>3</v>
      </c>
      <c r="F17" s="3">
        <v>5</v>
      </c>
      <c r="G17" s="7">
        <v>3</v>
      </c>
      <c r="H17" s="5">
        <v>4</v>
      </c>
      <c r="I17" s="3">
        <v>5</v>
      </c>
      <c r="J17" s="3">
        <v>4</v>
      </c>
      <c r="K17" s="3">
        <f t="shared" si="0"/>
        <v>4.05</v>
      </c>
      <c r="L17" s="3" t="str">
        <f t="shared" si="1"/>
        <v>High</v>
      </c>
      <c r="M17" s="3" t="str">
        <f t="shared" si="2"/>
        <v>Create recovery plan and monitor daily</v>
      </c>
    </row>
    <row r="18" spans="1:13" x14ac:dyDescent="0.2">
      <c r="A18" s="5" t="s">
        <v>62</v>
      </c>
      <c r="B18" s="5" t="s">
        <v>14</v>
      </c>
      <c r="C18" s="5" t="s">
        <v>400</v>
      </c>
      <c r="D18" s="5" t="s">
        <v>372</v>
      </c>
      <c r="E18" s="3">
        <v>2</v>
      </c>
      <c r="F18" s="3">
        <v>1</v>
      </c>
      <c r="G18" s="7">
        <v>2</v>
      </c>
      <c r="H18" s="5">
        <v>2</v>
      </c>
      <c r="I18" s="3">
        <v>5</v>
      </c>
      <c r="J18" s="3">
        <v>1</v>
      </c>
      <c r="K18" s="3">
        <f t="shared" si="0"/>
        <v>2.1</v>
      </c>
      <c r="L18" s="3" t="str">
        <f t="shared" si="1"/>
        <v>Low</v>
      </c>
      <c r="M18" s="3" t="str">
        <f t="shared" si="2"/>
        <v>No immediate action required</v>
      </c>
    </row>
    <row r="19" spans="1:13" x14ac:dyDescent="0.2">
      <c r="A19" s="5" t="s">
        <v>76</v>
      </c>
      <c r="B19" s="5" t="s">
        <v>64</v>
      </c>
      <c r="C19" s="5" t="s">
        <v>401</v>
      </c>
      <c r="D19" s="5" t="s">
        <v>372</v>
      </c>
      <c r="E19" s="3">
        <v>2</v>
      </c>
      <c r="F19" s="3">
        <v>2</v>
      </c>
      <c r="G19" s="7">
        <v>2</v>
      </c>
      <c r="H19" s="5">
        <v>2</v>
      </c>
      <c r="I19" s="3">
        <v>1</v>
      </c>
      <c r="J19" s="3">
        <v>1</v>
      </c>
      <c r="K19" s="3">
        <f t="shared" si="0"/>
        <v>1.75</v>
      </c>
      <c r="L19" s="3" t="str">
        <f t="shared" si="1"/>
        <v>Low</v>
      </c>
      <c r="M19" s="3" t="str">
        <f t="shared" si="2"/>
        <v>No immediate action required</v>
      </c>
    </row>
    <row r="20" spans="1:13" x14ac:dyDescent="0.2">
      <c r="A20" s="5" t="s">
        <v>83</v>
      </c>
      <c r="B20" s="5" t="s">
        <v>64</v>
      </c>
      <c r="C20" s="5" t="s">
        <v>402</v>
      </c>
      <c r="D20" s="5" t="s">
        <v>372</v>
      </c>
      <c r="E20" s="3">
        <v>5</v>
      </c>
      <c r="F20" s="3">
        <v>5</v>
      </c>
      <c r="G20" s="7">
        <v>4</v>
      </c>
      <c r="H20" s="5">
        <v>5</v>
      </c>
      <c r="I20" s="3">
        <v>5</v>
      </c>
      <c r="J20" s="3">
        <v>4</v>
      </c>
      <c r="K20" s="3">
        <f t="shared" si="0"/>
        <v>4.7</v>
      </c>
      <c r="L20" s="3" t="str">
        <f t="shared" si="1"/>
        <v>Critical</v>
      </c>
      <c r="M20" s="3" t="str">
        <f t="shared" si="2"/>
        <v>Escalate immediately, expedite supply, and review backup source</v>
      </c>
    </row>
    <row r="21" spans="1:13" x14ac:dyDescent="0.2">
      <c r="A21" s="5" t="s">
        <v>91</v>
      </c>
      <c r="B21" s="5" t="s">
        <v>64</v>
      </c>
      <c r="C21" s="5" t="s">
        <v>403</v>
      </c>
      <c r="D21" s="5" t="s">
        <v>372</v>
      </c>
      <c r="E21" s="3">
        <v>5</v>
      </c>
      <c r="F21" s="3">
        <v>4</v>
      </c>
      <c r="G21" s="7">
        <v>4</v>
      </c>
      <c r="H21" s="5">
        <v>5</v>
      </c>
      <c r="I21" s="3">
        <v>5</v>
      </c>
      <c r="J21" s="3">
        <v>1</v>
      </c>
      <c r="K21" s="3">
        <f t="shared" si="0"/>
        <v>4.1500000000000004</v>
      </c>
      <c r="L21" s="3" t="str">
        <f t="shared" si="1"/>
        <v>High</v>
      </c>
      <c r="M21" s="3" t="str">
        <f t="shared" si="2"/>
        <v>Create recovery plan and monitor daily</v>
      </c>
    </row>
    <row r="22" spans="1:13" x14ac:dyDescent="0.2">
      <c r="A22" s="5" t="s">
        <v>92</v>
      </c>
      <c r="B22" s="5" t="s">
        <v>64</v>
      </c>
      <c r="C22" s="5" t="s">
        <v>399</v>
      </c>
      <c r="D22" s="5" t="s">
        <v>372</v>
      </c>
      <c r="E22" s="3">
        <v>3</v>
      </c>
      <c r="F22" s="3">
        <v>1</v>
      </c>
      <c r="G22" s="7">
        <v>3</v>
      </c>
      <c r="H22" s="5">
        <v>3</v>
      </c>
      <c r="I22" s="3">
        <v>5</v>
      </c>
      <c r="J22" s="3">
        <v>1</v>
      </c>
      <c r="K22" s="3">
        <f t="shared" si="0"/>
        <v>2.6</v>
      </c>
      <c r="L22" s="3" t="str">
        <f t="shared" si="1"/>
        <v>Medium</v>
      </c>
      <c r="M22" s="3" t="str">
        <f t="shared" si="2"/>
        <v>Monitor weekly and confirm replenishment plan</v>
      </c>
    </row>
    <row r="23" spans="1:13" x14ac:dyDescent="0.2">
      <c r="A23" s="5" t="s">
        <v>95</v>
      </c>
      <c r="B23" s="5" t="s">
        <v>93</v>
      </c>
      <c r="C23" s="5" t="s">
        <v>401</v>
      </c>
      <c r="D23" s="5" t="s">
        <v>372</v>
      </c>
      <c r="E23" s="3">
        <v>3</v>
      </c>
      <c r="F23" s="3">
        <v>3</v>
      </c>
      <c r="G23" s="7">
        <v>3</v>
      </c>
      <c r="H23" s="5">
        <v>3</v>
      </c>
      <c r="I23" s="3">
        <v>5</v>
      </c>
      <c r="J23" s="3">
        <v>1</v>
      </c>
      <c r="K23" s="3">
        <f t="shared" si="0"/>
        <v>3.1</v>
      </c>
      <c r="L23" s="3" t="str">
        <f t="shared" si="1"/>
        <v>Medium</v>
      </c>
      <c r="M23" s="3" t="str">
        <f t="shared" si="2"/>
        <v>Monitor weekly and confirm replenishment plan</v>
      </c>
    </row>
    <row r="24" spans="1:13" x14ac:dyDescent="0.2">
      <c r="A24" s="5" t="s">
        <v>97</v>
      </c>
      <c r="B24" s="5" t="s">
        <v>93</v>
      </c>
      <c r="C24" s="5" t="s">
        <v>404</v>
      </c>
      <c r="D24" s="5" t="s">
        <v>372</v>
      </c>
      <c r="E24" s="3">
        <v>2</v>
      </c>
      <c r="F24" s="3">
        <v>1</v>
      </c>
      <c r="G24" s="7">
        <v>2</v>
      </c>
      <c r="H24" s="5">
        <v>2</v>
      </c>
      <c r="I24" s="3">
        <v>5</v>
      </c>
      <c r="J24" s="3">
        <v>1</v>
      </c>
      <c r="K24" s="3">
        <f t="shared" si="0"/>
        <v>2.1</v>
      </c>
      <c r="L24" s="3" t="str">
        <f t="shared" si="1"/>
        <v>Low</v>
      </c>
      <c r="M24" s="3" t="str">
        <f t="shared" si="2"/>
        <v>No immediate action required</v>
      </c>
    </row>
    <row r="25" spans="1:13" x14ac:dyDescent="0.2">
      <c r="A25" s="5" t="s">
        <v>98</v>
      </c>
      <c r="B25" s="5" t="s">
        <v>93</v>
      </c>
      <c r="C25" s="5" t="s">
        <v>393</v>
      </c>
      <c r="D25" s="5" t="s">
        <v>373</v>
      </c>
      <c r="E25" s="3">
        <v>4</v>
      </c>
      <c r="F25" s="3">
        <v>5</v>
      </c>
      <c r="G25" s="7">
        <v>4</v>
      </c>
      <c r="H25" s="5">
        <v>5</v>
      </c>
      <c r="I25" s="3">
        <v>5</v>
      </c>
      <c r="J25" s="3">
        <v>3</v>
      </c>
      <c r="K25" s="3">
        <f t="shared" si="0"/>
        <v>4.45</v>
      </c>
      <c r="L25" s="3" t="str">
        <f t="shared" si="1"/>
        <v>Critical</v>
      </c>
      <c r="M25" s="3" t="str">
        <f t="shared" si="2"/>
        <v>Escalate immediately, expedite supply, and review backup source</v>
      </c>
    </row>
    <row r="26" spans="1:13" x14ac:dyDescent="0.2">
      <c r="A26" s="5" t="s">
        <v>99</v>
      </c>
      <c r="B26" s="5" t="s">
        <v>93</v>
      </c>
      <c r="C26" s="5" t="s">
        <v>393</v>
      </c>
      <c r="D26" s="5" t="s">
        <v>374</v>
      </c>
      <c r="E26" s="3">
        <v>4</v>
      </c>
      <c r="F26" s="3">
        <v>1</v>
      </c>
      <c r="G26" s="7">
        <v>4</v>
      </c>
      <c r="H26" s="5">
        <v>5</v>
      </c>
      <c r="I26" s="3">
        <v>5</v>
      </c>
      <c r="J26" s="3">
        <v>1</v>
      </c>
      <c r="K26" s="3">
        <f t="shared" si="0"/>
        <v>3.25</v>
      </c>
      <c r="L26" s="3" t="str">
        <f t="shared" si="1"/>
        <v>Medium</v>
      </c>
      <c r="M26" s="3" t="str">
        <f t="shared" si="2"/>
        <v>Monitor weekly and confirm replenishment plan</v>
      </c>
    </row>
    <row r="27" spans="1:13" x14ac:dyDescent="0.2">
      <c r="A27" s="5" t="s">
        <v>100</v>
      </c>
      <c r="B27" s="5" t="s">
        <v>93</v>
      </c>
      <c r="C27" s="5" t="s">
        <v>393</v>
      </c>
      <c r="D27" s="5" t="s">
        <v>373</v>
      </c>
      <c r="E27" s="3">
        <v>3</v>
      </c>
      <c r="F27" s="3">
        <v>1</v>
      </c>
      <c r="G27" s="7">
        <v>3</v>
      </c>
      <c r="H27" s="5">
        <v>3</v>
      </c>
      <c r="I27" s="3">
        <v>5</v>
      </c>
      <c r="J27" s="3">
        <v>1</v>
      </c>
      <c r="K27" s="3">
        <f t="shared" si="0"/>
        <v>2.6</v>
      </c>
      <c r="L27" s="3" t="str">
        <f t="shared" si="1"/>
        <v>Medium</v>
      </c>
      <c r="M27" s="3" t="str">
        <f t="shared" si="2"/>
        <v>Monitor weekly and confirm replenishment plan</v>
      </c>
    </row>
    <row r="28" spans="1:13" x14ac:dyDescent="0.2">
      <c r="A28" s="5" t="s">
        <v>101</v>
      </c>
      <c r="B28" s="5" t="s">
        <v>93</v>
      </c>
      <c r="C28" s="5" t="s">
        <v>391</v>
      </c>
      <c r="D28" s="5" t="s">
        <v>372</v>
      </c>
      <c r="E28" s="3">
        <v>3</v>
      </c>
      <c r="F28" s="3">
        <v>1</v>
      </c>
      <c r="G28" s="7">
        <v>5</v>
      </c>
      <c r="H28" s="5">
        <v>3</v>
      </c>
      <c r="I28" s="3">
        <v>1</v>
      </c>
      <c r="J28" s="3">
        <v>1</v>
      </c>
      <c r="K28" s="3">
        <f t="shared" si="0"/>
        <v>2.4</v>
      </c>
      <c r="L28" s="3" t="str">
        <f t="shared" si="1"/>
        <v>Low</v>
      </c>
      <c r="M28" s="3" t="str">
        <f t="shared" si="2"/>
        <v>No immediate action required</v>
      </c>
    </row>
    <row r="29" spans="1:13" x14ac:dyDescent="0.2">
      <c r="A29" s="5" t="s">
        <v>102</v>
      </c>
      <c r="B29" s="5" t="s">
        <v>93</v>
      </c>
      <c r="C29" s="5" t="s">
        <v>405</v>
      </c>
      <c r="D29" s="5" t="s">
        <v>372</v>
      </c>
      <c r="E29" s="3">
        <v>4</v>
      </c>
      <c r="F29" s="3">
        <v>1</v>
      </c>
      <c r="G29" s="7">
        <v>3</v>
      </c>
      <c r="H29" s="5">
        <v>5</v>
      </c>
      <c r="I29" s="3">
        <v>5</v>
      </c>
      <c r="J29" s="3">
        <v>1</v>
      </c>
      <c r="K29" s="3">
        <f t="shared" si="0"/>
        <v>3.05</v>
      </c>
      <c r="L29" s="3" t="str">
        <f t="shared" si="1"/>
        <v>Medium</v>
      </c>
      <c r="M29" s="3" t="str">
        <f t="shared" si="2"/>
        <v>Monitor weekly and confirm replenishment plan</v>
      </c>
    </row>
    <row r="30" spans="1:13" x14ac:dyDescent="0.2">
      <c r="A30" s="5" t="s">
        <v>103</v>
      </c>
      <c r="B30" s="5" t="s">
        <v>93</v>
      </c>
      <c r="C30" s="5" t="s">
        <v>395</v>
      </c>
      <c r="D30" s="5" t="s">
        <v>372</v>
      </c>
      <c r="E30" s="3">
        <v>4</v>
      </c>
      <c r="F30" s="3">
        <v>1</v>
      </c>
      <c r="G30" s="7">
        <v>3</v>
      </c>
      <c r="H30" s="5">
        <v>5</v>
      </c>
      <c r="I30" s="3">
        <v>5</v>
      </c>
      <c r="J30" s="3">
        <v>1</v>
      </c>
      <c r="K30" s="3">
        <f t="shared" si="0"/>
        <v>3.05</v>
      </c>
      <c r="L30" s="3" t="str">
        <f t="shared" si="1"/>
        <v>Medium</v>
      </c>
      <c r="M30" s="3" t="str">
        <f t="shared" si="2"/>
        <v>Monitor weekly and confirm replenishment plan</v>
      </c>
    </row>
    <row r="31" spans="1:13" x14ac:dyDescent="0.2">
      <c r="A31" s="5" t="s">
        <v>104</v>
      </c>
      <c r="B31" s="5" t="s">
        <v>93</v>
      </c>
      <c r="C31" s="5" t="s">
        <v>393</v>
      </c>
      <c r="D31" s="5" t="s">
        <v>372</v>
      </c>
      <c r="E31" s="3">
        <v>3</v>
      </c>
      <c r="F31" s="3">
        <v>1</v>
      </c>
      <c r="G31" s="7">
        <v>3</v>
      </c>
      <c r="H31" s="5">
        <v>3</v>
      </c>
      <c r="I31" s="3">
        <v>5</v>
      </c>
      <c r="J31" s="3">
        <v>1</v>
      </c>
      <c r="K31" s="3">
        <f t="shared" si="0"/>
        <v>2.6</v>
      </c>
      <c r="L31" s="3" t="str">
        <f t="shared" si="1"/>
        <v>Medium</v>
      </c>
      <c r="M31" s="3" t="str">
        <f t="shared" si="2"/>
        <v>Monitor weekly and confirm replenishment plan</v>
      </c>
    </row>
    <row r="32" spans="1:13" x14ac:dyDescent="0.2">
      <c r="A32" s="5" t="s">
        <v>107</v>
      </c>
      <c r="B32" s="5" t="s">
        <v>105</v>
      </c>
      <c r="C32" s="5" t="s">
        <v>406</v>
      </c>
      <c r="D32" s="5" t="s">
        <v>372</v>
      </c>
      <c r="E32" s="3">
        <v>3</v>
      </c>
      <c r="F32" s="3">
        <v>2</v>
      </c>
      <c r="G32" s="7">
        <v>3</v>
      </c>
      <c r="H32" s="5">
        <v>3</v>
      </c>
      <c r="I32" s="3">
        <v>5</v>
      </c>
      <c r="J32" s="3">
        <v>1</v>
      </c>
      <c r="K32" s="3">
        <f t="shared" si="0"/>
        <v>2.85</v>
      </c>
      <c r="L32" s="3" t="str">
        <f t="shared" si="1"/>
        <v>Medium</v>
      </c>
      <c r="M32" s="3" t="str">
        <f t="shared" si="2"/>
        <v>Monitor weekly and confirm replenishment plan</v>
      </c>
    </row>
    <row r="33" spans="1:13" x14ac:dyDescent="0.2">
      <c r="A33" s="5" t="s">
        <v>108</v>
      </c>
      <c r="B33" s="5" t="s">
        <v>105</v>
      </c>
      <c r="C33" s="5" t="s">
        <v>406</v>
      </c>
      <c r="D33" s="5" t="s">
        <v>372</v>
      </c>
      <c r="E33" s="3">
        <v>3</v>
      </c>
      <c r="F33" s="3">
        <v>1</v>
      </c>
      <c r="G33" s="7">
        <v>3</v>
      </c>
      <c r="H33" s="5">
        <v>3</v>
      </c>
      <c r="I33" s="3">
        <v>5</v>
      </c>
      <c r="J33" s="3">
        <v>1</v>
      </c>
      <c r="K33" s="3">
        <f t="shared" si="0"/>
        <v>2.6</v>
      </c>
      <c r="L33" s="3" t="str">
        <f t="shared" si="1"/>
        <v>Medium</v>
      </c>
      <c r="M33" s="3" t="str">
        <f t="shared" si="2"/>
        <v>Monitor weekly and confirm replenishment plan</v>
      </c>
    </row>
    <row r="34" spans="1:13" x14ac:dyDescent="0.2">
      <c r="A34" s="5" t="s">
        <v>109</v>
      </c>
      <c r="B34" s="5" t="s">
        <v>105</v>
      </c>
      <c r="C34" s="5" t="s">
        <v>406</v>
      </c>
      <c r="D34" s="5" t="s">
        <v>372</v>
      </c>
      <c r="E34" s="3">
        <v>3</v>
      </c>
      <c r="F34" s="3">
        <v>1</v>
      </c>
      <c r="G34" s="7">
        <v>3</v>
      </c>
      <c r="H34" s="5">
        <v>3</v>
      </c>
      <c r="I34" s="3">
        <v>5</v>
      </c>
      <c r="J34" s="3">
        <v>1</v>
      </c>
      <c r="K34" s="3">
        <f t="shared" si="0"/>
        <v>2.6</v>
      </c>
      <c r="L34" s="3" t="str">
        <f t="shared" si="1"/>
        <v>Medium</v>
      </c>
      <c r="M34" s="3" t="str">
        <f t="shared" si="2"/>
        <v>Monitor weekly and confirm replenishment plan</v>
      </c>
    </row>
    <row r="35" spans="1:13" x14ac:dyDescent="0.2">
      <c r="A35" s="5" t="s">
        <v>110</v>
      </c>
      <c r="B35" s="5" t="s">
        <v>105</v>
      </c>
      <c r="C35" s="5" t="s">
        <v>406</v>
      </c>
      <c r="D35" s="5" t="s">
        <v>372</v>
      </c>
      <c r="E35" s="3">
        <v>3</v>
      </c>
      <c r="F35" s="3">
        <v>2</v>
      </c>
      <c r="G35" s="7">
        <v>3</v>
      </c>
      <c r="H35" s="5">
        <v>3</v>
      </c>
      <c r="I35" s="3">
        <v>5</v>
      </c>
      <c r="J35" s="3">
        <v>1</v>
      </c>
      <c r="K35" s="3">
        <f t="shared" si="0"/>
        <v>2.85</v>
      </c>
      <c r="L35" s="3" t="str">
        <f t="shared" si="1"/>
        <v>Medium</v>
      </c>
      <c r="M35" s="3" t="str">
        <f t="shared" si="2"/>
        <v>Monitor weekly and confirm replenishment plan</v>
      </c>
    </row>
    <row r="36" spans="1:13" x14ac:dyDescent="0.2">
      <c r="A36" s="5" t="s">
        <v>111</v>
      </c>
      <c r="B36" s="5" t="s">
        <v>105</v>
      </c>
      <c r="C36" s="5" t="s">
        <v>391</v>
      </c>
      <c r="D36" s="5" t="s">
        <v>372</v>
      </c>
      <c r="E36" s="3">
        <v>3</v>
      </c>
      <c r="F36" s="3">
        <v>2</v>
      </c>
      <c r="G36" s="7">
        <v>3</v>
      </c>
      <c r="H36" s="5">
        <v>3</v>
      </c>
      <c r="I36" s="3">
        <v>5</v>
      </c>
      <c r="J36" s="3">
        <v>1</v>
      </c>
      <c r="K36" s="3">
        <f t="shared" si="0"/>
        <v>2.85</v>
      </c>
      <c r="L36" s="3" t="str">
        <f t="shared" si="1"/>
        <v>Medium</v>
      </c>
      <c r="M36" s="3" t="str">
        <f t="shared" si="2"/>
        <v>Monitor weekly and confirm replenishment plan</v>
      </c>
    </row>
    <row r="37" spans="1:13" x14ac:dyDescent="0.2">
      <c r="A37" s="5" t="s">
        <v>112</v>
      </c>
      <c r="B37" s="5" t="s">
        <v>105</v>
      </c>
      <c r="C37" s="5" t="s">
        <v>407</v>
      </c>
      <c r="D37" s="5" t="s">
        <v>372</v>
      </c>
      <c r="E37" s="3">
        <v>3</v>
      </c>
      <c r="F37" s="3">
        <v>2</v>
      </c>
      <c r="G37" s="7">
        <v>3</v>
      </c>
      <c r="H37" s="5">
        <v>3</v>
      </c>
      <c r="I37" s="3">
        <v>5</v>
      </c>
      <c r="J37" s="3">
        <v>1</v>
      </c>
      <c r="K37" s="3">
        <f t="shared" si="0"/>
        <v>2.85</v>
      </c>
      <c r="L37" s="3" t="str">
        <f t="shared" si="1"/>
        <v>Medium</v>
      </c>
      <c r="M37" s="3" t="str">
        <f t="shared" si="2"/>
        <v>Monitor weekly and confirm replenishment plan</v>
      </c>
    </row>
    <row r="38" spans="1:13" x14ac:dyDescent="0.2">
      <c r="A38" s="5" t="s">
        <v>113</v>
      </c>
      <c r="B38" s="5" t="s">
        <v>105</v>
      </c>
      <c r="C38" s="5" t="s">
        <v>408</v>
      </c>
      <c r="D38" s="5" t="s">
        <v>372</v>
      </c>
      <c r="E38" s="3">
        <v>3</v>
      </c>
      <c r="F38" s="3">
        <v>2</v>
      </c>
      <c r="G38" s="7">
        <v>3</v>
      </c>
      <c r="H38" s="5">
        <v>3</v>
      </c>
      <c r="I38" s="3">
        <v>5</v>
      </c>
      <c r="J38" s="3">
        <v>1</v>
      </c>
      <c r="K38" s="3">
        <f t="shared" si="0"/>
        <v>2.85</v>
      </c>
      <c r="L38" s="3" t="str">
        <f t="shared" si="1"/>
        <v>Medium</v>
      </c>
      <c r="M38" s="3" t="str">
        <f t="shared" si="2"/>
        <v>Monitor weekly and confirm replenishment plan</v>
      </c>
    </row>
    <row r="39" spans="1:13" x14ac:dyDescent="0.2">
      <c r="A39" s="5" t="s">
        <v>114</v>
      </c>
      <c r="B39" s="5" t="s">
        <v>105</v>
      </c>
      <c r="C39" s="5" t="s">
        <v>391</v>
      </c>
      <c r="D39" s="5" t="s">
        <v>372</v>
      </c>
      <c r="E39" s="3">
        <v>4</v>
      </c>
      <c r="F39" s="3">
        <v>1</v>
      </c>
      <c r="G39" s="7">
        <v>3</v>
      </c>
      <c r="H39" s="5">
        <v>5</v>
      </c>
      <c r="I39" s="3">
        <v>5</v>
      </c>
      <c r="J39" s="3">
        <v>1</v>
      </c>
      <c r="K39" s="3">
        <f t="shared" si="0"/>
        <v>3.05</v>
      </c>
      <c r="L39" s="3" t="str">
        <f t="shared" si="1"/>
        <v>Medium</v>
      </c>
      <c r="M39" s="3" t="str">
        <f t="shared" si="2"/>
        <v>Monitor weekly and confirm replenishment plan</v>
      </c>
    </row>
    <row r="40" spans="1:13" x14ac:dyDescent="0.2">
      <c r="A40" s="5" t="s">
        <v>115</v>
      </c>
      <c r="B40" s="5" t="s">
        <v>105</v>
      </c>
      <c r="C40" s="5" t="s">
        <v>393</v>
      </c>
      <c r="D40" s="5" t="s">
        <v>372</v>
      </c>
      <c r="E40" s="3">
        <v>4</v>
      </c>
      <c r="F40" s="3">
        <v>1</v>
      </c>
      <c r="G40" s="7">
        <v>3</v>
      </c>
      <c r="H40" s="5">
        <v>3</v>
      </c>
      <c r="I40" s="3">
        <v>5</v>
      </c>
      <c r="J40" s="3">
        <v>1</v>
      </c>
      <c r="K40" s="3">
        <f t="shared" si="0"/>
        <v>2.75</v>
      </c>
      <c r="L40" s="3" t="str">
        <f t="shared" si="1"/>
        <v>Medium</v>
      </c>
      <c r="M40" s="3" t="str">
        <f t="shared" si="2"/>
        <v>Monitor weekly and confirm replenishment plan</v>
      </c>
    </row>
    <row r="41" spans="1:13" x14ac:dyDescent="0.2">
      <c r="A41" s="5" t="s">
        <v>116</v>
      </c>
      <c r="B41" s="5" t="s">
        <v>105</v>
      </c>
      <c r="C41" s="5" t="s">
        <v>409</v>
      </c>
      <c r="D41" s="5" t="s">
        <v>372</v>
      </c>
      <c r="E41" s="3">
        <v>4</v>
      </c>
      <c r="F41" s="3">
        <v>1</v>
      </c>
      <c r="G41" s="7">
        <v>3</v>
      </c>
      <c r="H41" s="5">
        <v>5</v>
      </c>
      <c r="I41" s="3">
        <v>5</v>
      </c>
      <c r="J41" s="3">
        <v>1</v>
      </c>
      <c r="K41" s="3">
        <f t="shared" si="0"/>
        <v>3.05</v>
      </c>
      <c r="L41" s="3" t="str">
        <f t="shared" si="1"/>
        <v>Medium</v>
      </c>
      <c r="M41" s="3" t="str">
        <f t="shared" si="2"/>
        <v>Monitor weekly and confirm replenishment plan</v>
      </c>
    </row>
    <row r="42" spans="1:13" x14ac:dyDescent="0.2">
      <c r="A42" s="5" t="s">
        <v>120</v>
      </c>
      <c r="B42" s="5" t="s">
        <v>117</v>
      </c>
      <c r="C42" s="5" t="s">
        <v>403</v>
      </c>
      <c r="D42" s="5" t="s">
        <v>372</v>
      </c>
      <c r="E42" s="3">
        <v>4</v>
      </c>
      <c r="F42" s="3">
        <v>1</v>
      </c>
      <c r="G42" s="7">
        <v>3</v>
      </c>
      <c r="H42" s="5">
        <v>3</v>
      </c>
      <c r="I42" s="3">
        <v>5</v>
      </c>
      <c r="J42" s="3">
        <v>1</v>
      </c>
      <c r="K42" s="3">
        <f t="shared" si="0"/>
        <v>2.75</v>
      </c>
      <c r="L42" s="3" t="str">
        <f t="shared" si="1"/>
        <v>Medium</v>
      </c>
      <c r="M42" s="3" t="str">
        <f t="shared" si="2"/>
        <v>Monitor weekly and confirm replenishment plan</v>
      </c>
    </row>
    <row r="43" spans="1:13" x14ac:dyDescent="0.2">
      <c r="A43" s="5" t="s">
        <v>121</v>
      </c>
      <c r="B43" s="5" t="s">
        <v>117</v>
      </c>
      <c r="C43" s="5" t="s">
        <v>403</v>
      </c>
      <c r="D43" s="5" t="s">
        <v>372</v>
      </c>
      <c r="E43" s="3">
        <v>2</v>
      </c>
      <c r="F43" s="3">
        <v>1</v>
      </c>
      <c r="G43" s="7">
        <v>2</v>
      </c>
      <c r="H43" s="5">
        <v>2</v>
      </c>
      <c r="I43" s="3">
        <v>1</v>
      </c>
      <c r="J43" s="3">
        <v>1</v>
      </c>
      <c r="K43" s="3">
        <f t="shared" si="0"/>
        <v>1.5</v>
      </c>
      <c r="L43" s="3" t="str">
        <f t="shared" si="1"/>
        <v>Low</v>
      </c>
      <c r="M43" s="3" t="str">
        <f t="shared" si="2"/>
        <v>No immediate action required</v>
      </c>
    </row>
    <row r="44" spans="1:13" x14ac:dyDescent="0.2">
      <c r="A44" s="5" t="s">
        <v>122</v>
      </c>
      <c r="B44" s="5" t="s">
        <v>117</v>
      </c>
      <c r="C44" s="5" t="s">
        <v>389</v>
      </c>
      <c r="D44" s="5" t="s">
        <v>373</v>
      </c>
      <c r="E44" s="3">
        <v>3</v>
      </c>
      <c r="F44" s="3">
        <v>1</v>
      </c>
      <c r="G44" s="7">
        <v>3</v>
      </c>
      <c r="H44" s="5">
        <v>3</v>
      </c>
      <c r="I44" s="3">
        <v>5</v>
      </c>
      <c r="J44" s="3">
        <v>1</v>
      </c>
      <c r="K44" s="3">
        <f t="shared" si="0"/>
        <v>2.6</v>
      </c>
      <c r="L44" s="3" t="str">
        <f t="shared" si="1"/>
        <v>Medium</v>
      </c>
      <c r="M44" s="3" t="str">
        <f t="shared" si="2"/>
        <v>Monitor weekly and confirm replenishment plan</v>
      </c>
    </row>
    <row r="45" spans="1:13" x14ac:dyDescent="0.2">
      <c r="A45" s="5" t="s">
        <v>123</v>
      </c>
      <c r="B45" s="5" t="s">
        <v>117</v>
      </c>
      <c r="C45" s="5" t="s">
        <v>410</v>
      </c>
      <c r="D45" s="5" t="s">
        <v>372</v>
      </c>
      <c r="E45" s="3">
        <v>3</v>
      </c>
      <c r="F45" s="3">
        <v>1</v>
      </c>
      <c r="G45" s="7">
        <v>3</v>
      </c>
      <c r="H45" s="5">
        <v>3</v>
      </c>
      <c r="I45" s="3">
        <v>5</v>
      </c>
      <c r="J45" s="3">
        <v>1</v>
      </c>
      <c r="K45" s="3">
        <f t="shared" si="0"/>
        <v>2.6</v>
      </c>
      <c r="L45" s="3" t="str">
        <f t="shared" si="1"/>
        <v>Medium</v>
      </c>
      <c r="M45" s="3" t="str">
        <f t="shared" si="2"/>
        <v>Monitor weekly and confirm replenishment plan</v>
      </c>
    </row>
    <row r="46" spans="1:13" x14ac:dyDescent="0.2">
      <c r="A46" s="5" t="s">
        <v>124</v>
      </c>
      <c r="B46" s="5" t="s">
        <v>117</v>
      </c>
      <c r="C46" s="5" t="s">
        <v>410</v>
      </c>
      <c r="D46" s="5" t="s">
        <v>372</v>
      </c>
      <c r="E46" s="3">
        <v>3</v>
      </c>
      <c r="F46" s="3">
        <v>3</v>
      </c>
      <c r="G46" s="7">
        <v>3</v>
      </c>
      <c r="H46" s="5">
        <v>3</v>
      </c>
      <c r="I46" s="3">
        <v>5</v>
      </c>
      <c r="J46" s="3">
        <v>1</v>
      </c>
      <c r="K46" s="3">
        <f t="shared" si="0"/>
        <v>3.1</v>
      </c>
      <c r="L46" s="3" t="str">
        <f t="shared" si="1"/>
        <v>Medium</v>
      </c>
      <c r="M46" s="3" t="str">
        <f t="shared" si="2"/>
        <v>Monitor weekly and confirm replenishment plan</v>
      </c>
    </row>
    <row r="47" spans="1:13" x14ac:dyDescent="0.2">
      <c r="A47" s="5" t="s">
        <v>125</v>
      </c>
      <c r="B47" s="5" t="s">
        <v>117</v>
      </c>
      <c r="C47" s="5" t="s">
        <v>389</v>
      </c>
      <c r="D47" s="5" t="s">
        <v>373</v>
      </c>
      <c r="E47" s="3">
        <v>3</v>
      </c>
      <c r="F47" s="3">
        <v>5</v>
      </c>
      <c r="G47" s="7">
        <v>3</v>
      </c>
      <c r="H47" s="5">
        <v>4</v>
      </c>
      <c r="I47" s="3">
        <v>5</v>
      </c>
      <c r="J47" s="3">
        <v>4</v>
      </c>
      <c r="K47" s="3">
        <f t="shared" si="0"/>
        <v>4.05</v>
      </c>
      <c r="L47" s="3" t="str">
        <f t="shared" si="1"/>
        <v>High</v>
      </c>
      <c r="M47" s="3" t="str">
        <f t="shared" si="2"/>
        <v>Create recovery plan and monitor daily</v>
      </c>
    </row>
    <row r="48" spans="1:13" x14ac:dyDescent="0.2">
      <c r="A48" s="5" t="s">
        <v>126</v>
      </c>
      <c r="B48" s="5" t="s">
        <v>117</v>
      </c>
      <c r="C48" s="5" t="s">
        <v>389</v>
      </c>
      <c r="D48" s="5" t="s">
        <v>373</v>
      </c>
      <c r="E48" s="3">
        <v>3</v>
      </c>
      <c r="F48" s="3">
        <v>1</v>
      </c>
      <c r="G48" s="7">
        <v>3</v>
      </c>
      <c r="H48" s="5">
        <v>4</v>
      </c>
      <c r="I48" s="3">
        <v>5</v>
      </c>
      <c r="J48" s="3">
        <v>1</v>
      </c>
      <c r="K48" s="3">
        <f t="shared" si="0"/>
        <v>2.75</v>
      </c>
      <c r="L48" s="3" t="str">
        <f t="shared" si="1"/>
        <v>Medium</v>
      </c>
      <c r="M48" s="3" t="str">
        <f t="shared" si="2"/>
        <v>Monitor weekly and confirm replenishment plan</v>
      </c>
    </row>
    <row r="49" spans="1:13" x14ac:dyDescent="0.2">
      <c r="A49" s="5" t="s">
        <v>127</v>
      </c>
      <c r="B49" s="5" t="s">
        <v>117</v>
      </c>
      <c r="C49" s="5" t="s">
        <v>389</v>
      </c>
      <c r="D49" s="5" t="s">
        <v>373</v>
      </c>
      <c r="E49" s="3">
        <v>3</v>
      </c>
      <c r="F49" s="3">
        <v>1</v>
      </c>
      <c r="G49" s="7">
        <v>3</v>
      </c>
      <c r="H49" s="5">
        <v>3</v>
      </c>
      <c r="I49" s="3">
        <v>5</v>
      </c>
      <c r="J49" s="3">
        <v>1</v>
      </c>
      <c r="K49" s="3">
        <f t="shared" si="0"/>
        <v>2.6</v>
      </c>
      <c r="L49" s="3" t="str">
        <f t="shared" si="1"/>
        <v>Medium</v>
      </c>
      <c r="M49" s="3" t="str">
        <f t="shared" si="2"/>
        <v>Monitor weekly and confirm replenishment plan</v>
      </c>
    </row>
    <row r="50" spans="1:13" x14ac:dyDescent="0.2">
      <c r="A50" s="5" t="s">
        <v>128</v>
      </c>
      <c r="B50" s="5" t="s">
        <v>117</v>
      </c>
      <c r="C50" s="5" t="s">
        <v>389</v>
      </c>
      <c r="D50" s="5" t="s">
        <v>373</v>
      </c>
      <c r="E50" s="3">
        <v>3</v>
      </c>
      <c r="F50" s="3">
        <v>1</v>
      </c>
      <c r="G50" s="7">
        <v>3</v>
      </c>
      <c r="H50" s="5">
        <v>3</v>
      </c>
      <c r="I50" s="3">
        <v>5</v>
      </c>
      <c r="J50" s="3">
        <v>1</v>
      </c>
      <c r="K50" s="3">
        <f t="shared" si="0"/>
        <v>2.6</v>
      </c>
      <c r="L50" s="3" t="str">
        <f t="shared" si="1"/>
        <v>Medium</v>
      </c>
      <c r="M50" s="3" t="str">
        <f t="shared" si="2"/>
        <v>Monitor weekly and confirm replenishment plan</v>
      </c>
    </row>
    <row r="51" spans="1:13" x14ac:dyDescent="0.2">
      <c r="A51" s="5" t="s">
        <v>129</v>
      </c>
      <c r="B51" s="5" t="s">
        <v>117</v>
      </c>
      <c r="C51" s="5" t="s">
        <v>410</v>
      </c>
      <c r="D51" s="5" t="s">
        <v>372</v>
      </c>
      <c r="E51" s="3">
        <v>3</v>
      </c>
      <c r="F51" s="3">
        <v>1</v>
      </c>
      <c r="G51" s="7">
        <v>3</v>
      </c>
      <c r="H51" s="5">
        <v>3</v>
      </c>
      <c r="I51" s="3">
        <v>5</v>
      </c>
      <c r="J51" s="3">
        <v>1</v>
      </c>
      <c r="K51" s="3">
        <f t="shared" si="0"/>
        <v>2.6</v>
      </c>
      <c r="L51" s="3" t="str">
        <f t="shared" si="1"/>
        <v>Medium</v>
      </c>
      <c r="M51" s="3" t="str">
        <f t="shared" si="2"/>
        <v>Monitor weekly and confirm replenishment plan</v>
      </c>
    </row>
    <row r="52" spans="1:13" x14ac:dyDescent="0.2">
      <c r="A52" s="5" t="s">
        <v>130</v>
      </c>
      <c r="B52" s="5" t="s">
        <v>117</v>
      </c>
      <c r="C52" s="5" t="s">
        <v>410</v>
      </c>
      <c r="D52" s="5" t="s">
        <v>372</v>
      </c>
      <c r="E52" s="3">
        <v>3</v>
      </c>
      <c r="F52" s="3">
        <v>2</v>
      </c>
      <c r="G52" s="7">
        <v>3</v>
      </c>
      <c r="H52" s="5">
        <v>3</v>
      </c>
      <c r="I52" s="3">
        <v>5</v>
      </c>
      <c r="J52" s="3">
        <v>1</v>
      </c>
      <c r="K52" s="3">
        <f t="shared" si="0"/>
        <v>2.85</v>
      </c>
      <c r="L52" s="3" t="str">
        <f t="shared" si="1"/>
        <v>Medium</v>
      </c>
      <c r="M52" s="3" t="str">
        <f t="shared" si="2"/>
        <v>Monitor weekly and confirm replenishment plan</v>
      </c>
    </row>
    <row r="53" spans="1:13" x14ac:dyDescent="0.2">
      <c r="A53" s="5" t="s">
        <v>131</v>
      </c>
      <c r="B53" s="5" t="s">
        <v>117</v>
      </c>
      <c r="C53" s="5" t="s">
        <v>410</v>
      </c>
      <c r="D53" s="5" t="s">
        <v>372</v>
      </c>
      <c r="E53" s="3">
        <v>3</v>
      </c>
      <c r="F53" s="3">
        <v>1</v>
      </c>
      <c r="G53" s="7">
        <v>3</v>
      </c>
      <c r="H53" s="5">
        <v>3</v>
      </c>
      <c r="I53" s="3">
        <v>5</v>
      </c>
      <c r="J53" s="3">
        <v>1</v>
      </c>
      <c r="K53" s="3">
        <f t="shared" si="0"/>
        <v>2.6</v>
      </c>
      <c r="L53" s="3" t="str">
        <f t="shared" si="1"/>
        <v>Medium</v>
      </c>
      <c r="M53" s="3" t="str">
        <f t="shared" si="2"/>
        <v>Monitor weekly and confirm replenishment plan</v>
      </c>
    </row>
    <row r="54" spans="1:13" x14ac:dyDescent="0.2">
      <c r="A54" s="5" t="s">
        <v>132</v>
      </c>
      <c r="B54" s="5" t="s">
        <v>117</v>
      </c>
      <c r="C54" s="5" t="s">
        <v>410</v>
      </c>
      <c r="D54" s="5" t="s">
        <v>372</v>
      </c>
      <c r="E54" s="3">
        <v>3</v>
      </c>
      <c r="F54" s="3">
        <v>1</v>
      </c>
      <c r="G54" s="7">
        <v>3</v>
      </c>
      <c r="H54" s="5">
        <v>3</v>
      </c>
      <c r="I54" s="3">
        <v>5</v>
      </c>
      <c r="J54" s="3">
        <v>1</v>
      </c>
      <c r="K54" s="3">
        <f t="shared" si="0"/>
        <v>2.6</v>
      </c>
      <c r="L54" s="3" t="str">
        <f t="shared" si="1"/>
        <v>Medium</v>
      </c>
      <c r="M54" s="3" t="str">
        <f t="shared" si="2"/>
        <v>Monitor weekly and confirm replenishment plan</v>
      </c>
    </row>
    <row r="55" spans="1:13" x14ac:dyDescent="0.2">
      <c r="A55" s="5" t="s">
        <v>133</v>
      </c>
      <c r="B55" s="5" t="s">
        <v>117</v>
      </c>
      <c r="C55" s="5" t="s">
        <v>411</v>
      </c>
      <c r="D55" s="5" t="s">
        <v>372</v>
      </c>
      <c r="E55" s="3">
        <v>3</v>
      </c>
      <c r="F55" s="3">
        <v>1</v>
      </c>
      <c r="G55" s="7">
        <v>3</v>
      </c>
      <c r="H55" s="5">
        <v>3</v>
      </c>
      <c r="I55" s="3">
        <v>5</v>
      </c>
      <c r="J55" s="3">
        <v>1</v>
      </c>
      <c r="K55" s="3">
        <f t="shared" si="0"/>
        <v>2.6</v>
      </c>
      <c r="L55" s="3" t="str">
        <f t="shared" si="1"/>
        <v>Medium</v>
      </c>
      <c r="M55" s="3" t="str">
        <f t="shared" si="2"/>
        <v>Monitor weekly and confirm replenishment plan</v>
      </c>
    </row>
    <row r="56" spans="1:13" x14ac:dyDescent="0.2">
      <c r="A56" s="5" t="s">
        <v>134</v>
      </c>
      <c r="B56" s="5" t="s">
        <v>117</v>
      </c>
      <c r="C56" s="5" t="s">
        <v>399</v>
      </c>
      <c r="D56" s="5" t="s">
        <v>372</v>
      </c>
      <c r="E56" s="3">
        <v>3</v>
      </c>
      <c r="F56" s="3">
        <v>2</v>
      </c>
      <c r="G56" s="7">
        <v>3</v>
      </c>
      <c r="H56" s="5">
        <v>3</v>
      </c>
      <c r="I56" s="3">
        <v>5</v>
      </c>
      <c r="J56" s="3">
        <v>1</v>
      </c>
      <c r="K56" s="3">
        <f t="shared" si="0"/>
        <v>2.85</v>
      </c>
      <c r="L56" s="3" t="str">
        <f t="shared" si="1"/>
        <v>Medium</v>
      </c>
      <c r="M56" s="3" t="str">
        <f t="shared" si="2"/>
        <v>Monitor weekly and confirm replenishment plan</v>
      </c>
    </row>
    <row r="57" spans="1:13" x14ac:dyDescent="0.2">
      <c r="A57" s="5" t="s">
        <v>137</v>
      </c>
      <c r="B57" s="5" t="s">
        <v>135</v>
      </c>
      <c r="C57" s="5" t="s">
        <v>412</v>
      </c>
      <c r="D57" s="5" t="s">
        <v>372</v>
      </c>
      <c r="E57" s="3">
        <v>2</v>
      </c>
      <c r="F57" s="3">
        <v>3</v>
      </c>
      <c r="G57" s="7">
        <v>2</v>
      </c>
      <c r="H57" s="5">
        <v>2</v>
      </c>
      <c r="I57" s="3">
        <v>5</v>
      </c>
      <c r="J57" s="3">
        <v>1</v>
      </c>
      <c r="K57" s="3">
        <f t="shared" si="0"/>
        <v>2.6</v>
      </c>
      <c r="L57" s="3" t="str">
        <f t="shared" si="1"/>
        <v>Medium</v>
      </c>
      <c r="M57" s="3" t="str">
        <f t="shared" si="2"/>
        <v>Monitor weekly and confirm replenishment plan</v>
      </c>
    </row>
    <row r="58" spans="1:13" x14ac:dyDescent="0.2">
      <c r="A58" s="5" t="s">
        <v>138</v>
      </c>
      <c r="B58" s="5" t="s">
        <v>135</v>
      </c>
      <c r="C58" s="5" t="s">
        <v>412</v>
      </c>
      <c r="D58" s="5" t="s">
        <v>372</v>
      </c>
      <c r="E58" s="3">
        <v>2</v>
      </c>
      <c r="F58" s="3">
        <v>1</v>
      </c>
      <c r="G58" s="7">
        <v>2</v>
      </c>
      <c r="H58" s="5">
        <v>2</v>
      </c>
      <c r="I58" s="3">
        <v>5</v>
      </c>
      <c r="J58" s="3">
        <v>1</v>
      </c>
      <c r="K58" s="3">
        <f t="shared" si="0"/>
        <v>2.1</v>
      </c>
      <c r="L58" s="3" t="str">
        <f t="shared" si="1"/>
        <v>Low</v>
      </c>
      <c r="M58" s="3" t="str">
        <f t="shared" si="2"/>
        <v>No immediate action required</v>
      </c>
    </row>
    <row r="59" spans="1:13" x14ac:dyDescent="0.2">
      <c r="A59" s="5" t="s">
        <v>139</v>
      </c>
      <c r="B59" s="5" t="s">
        <v>135</v>
      </c>
      <c r="C59" s="5" t="s">
        <v>413</v>
      </c>
      <c r="D59" s="5" t="s">
        <v>372</v>
      </c>
      <c r="E59" s="3">
        <v>4</v>
      </c>
      <c r="F59" s="3">
        <v>1</v>
      </c>
      <c r="G59" s="7">
        <v>4</v>
      </c>
      <c r="H59" s="5">
        <v>3</v>
      </c>
      <c r="I59" s="3">
        <v>5</v>
      </c>
      <c r="J59" s="3">
        <v>1</v>
      </c>
      <c r="K59" s="3">
        <f t="shared" si="0"/>
        <v>2.95</v>
      </c>
      <c r="L59" s="3" t="str">
        <f t="shared" si="1"/>
        <v>Medium</v>
      </c>
      <c r="M59" s="3" t="str">
        <f t="shared" si="2"/>
        <v>Monitor weekly and confirm replenishment plan</v>
      </c>
    </row>
    <row r="60" spans="1:13" x14ac:dyDescent="0.2">
      <c r="A60" s="5" t="s">
        <v>140</v>
      </c>
      <c r="B60" s="5" t="s">
        <v>135</v>
      </c>
      <c r="C60" s="5" t="s">
        <v>414</v>
      </c>
      <c r="D60" s="5" t="s">
        <v>372</v>
      </c>
      <c r="E60" s="3">
        <v>4</v>
      </c>
      <c r="F60" s="3">
        <v>1</v>
      </c>
      <c r="G60" s="7">
        <v>4</v>
      </c>
      <c r="H60" s="5">
        <v>3</v>
      </c>
      <c r="I60" s="3">
        <v>5</v>
      </c>
      <c r="J60" s="3">
        <v>1</v>
      </c>
      <c r="K60" s="3">
        <f t="shared" si="0"/>
        <v>2.95</v>
      </c>
      <c r="L60" s="3" t="str">
        <f t="shared" si="1"/>
        <v>Medium</v>
      </c>
      <c r="M60" s="3" t="str">
        <f t="shared" si="2"/>
        <v>Monitor weekly and confirm replenishment plan</v>
      </c>
    </row>
    <row r="61" spans="1:13" x14ac:dyDescent="0.2">
      <c r="A61" s="5" t="s">
        <v>141</v>
      </c>
      <c r="B61" s="5" t="s">
        <v>135</v>
      </c>
      <c r="C61" s="5" t="s">
        <v>412</v>
      </c>
      <c r="D61" s="5" t="s">
        <v>373</v>
      </c>
      <c r="E61" s="3">
        <v>4</v>
      </c>
      <c r="F61" s="3">
        <v>1</v>
      </c>
      <c r="G61" s="7">
        <v>4</v>
      </c>
      <c r="H61" s="5">
        <v>3</v>
      </c>
      <c r="I61" s="3">
        <v>5</v>
      </c>
      <c r="J61" s="3">
        <v>1</v>
      </c>
      <c r="K61" s="3">
        <f t="shared" si="0"/>
        <v>2.95</v>
      </c>
      <c r="L61" s="3" t="str">
        <f t="shared" si="1"/>
        <v>Medium</v>
      </c>
      <c r="M61" s="3" t="str">
        <f t="shared" si="2"/>
        <v>Monitor weekly and confirm replenishment plan</v>
      </c>
    </row>
    <row r="62" spans="1:13" x14ac:dyDescent="0.2">
      <c r="A62" s="5" t="s">
        <v>142</v>
      </c>
      <c r="B62" s="5" t="s">
        <v>135</v>
      </c>
      <c r="C62" s="5" t="s">
        <v>397</v>
      </c>
      <c r="D62" s="5" t="s">
        <v>372</v>
      </c>
      <c r="E62" s="3">
        <v>4</v>
      </c>
      <c r="F62" s="3">
        <v>2</v>
      </c>
      <c r="G62" s="7">
        <v>4</v>
      </c>
      <c r="H62" s="5">
        <v>4</v>
      </c>
      <c r="I62" s="3">
        <v>5</v>
      </c>
      <c r="J62" s="3">
        <v>1</v>
      </c>
      <c r="K62" s="3">
        <f t="shared" si="0"/>
        <v>3.35</v>
      </c>
      <c r="L62" s="3" t="str">
        <f t="shared" si="1"/>
        <v>Medium</v>
      </c>
      <c r="M62" s="3" t="str">
        <f t="shared" si="2"/>
        <v>Monitor weekly and confirm replenishment plan</v>
      </c>
    </row>
    <row r="63" spans="1:13" x14ac:dyDescent="0.2">
      <c r="A63" s="5" t="s">
        <v>143</v>
      </c>
      <c r="B63" s="5" t="s">
        <v>135</v>
      </c>
      <c r="C63" s="5" t="s">
        <v>415</v>
      </c>
      <c r="D63" s="5" t="s">
        <v>372</v>
      </c>
      <c r="E63" s="3">
        <v>4</v>
      </c>
      <c r="F63" s="3">
        <v>1</v>
      </c>
      <c r="G63" s="7">
        <v>4</v>
      </c>
      <c r="H63" s="5">
        <v>3</v>
      </c>
      <c r="I63" s="3">
        <v>5</v>
      </c>
      <c r="J63" s="3">
        <v>1</v>
      </c>
      <c r="K63" s="3">
        <f t="shared" si="0"/>
        <v>2.95</v>
      </c>
      <c r="L63" s="3" t="str">
        <f t="shared" si="1"/>
        <v>Medium</v>
      </c>
      <c r="M63" s="3" t="str">
        <f t="shared" si="2"/>
        <v>Monitor weekly and confirm replenishment plan</v>
      </c>
    </row>
    <row r="64" spans="1:13" x14ac:dyDescent="0.2">
      <c r="A64" s="5" t="s">
        <v>144</v>
      </c>
      <c r="B64" s="5" t="s">
        <v>135</v>
      </c>
      <c r="C64" s="5" t="s">
        <v>412</v>
      </c>
      <c r="D64" s="5" t="s">
        <v>372</v>
      </c>
      <c r="E64" s="3">
        <v>4</v>
      </c>
      <c r="F64" s="3">
        <v>1</v>
      </c>
      <c r="G64" s="7">
        <v>4</v>
      </c>
      <c r="H64" s="5">
        <v>3</v>
      </c>
      <c r="I64" s="3">
        <v>5</v>
      </c>
      <c r="J64" s="3">
        <v>1</v>
      </c>
      <c r="K64" s="3">
        <f t="shared" si="0"/>
        <v>2.95</v>
      </c>
      <c r="L64" s="3" t="str">
        <f t="shared" si="1"/>
        <v>Medium</v>
      </c>
      <c r="M64" s="3" t="str">
        <f t="shared" si="2"/>
        <v>Monitor weekly and confirm replenishment plan</v>
      </c>
    </row>
    <row r="65" spans="1:13" x14ac:dyDescent="0.2">
      <c r="A65" s="5" t="s">
        <v>145</v>
      </c>
      <c r="B65" s="5" t="s">
        <v>135</v>
      </c>
      <c r="C65" s="5" t="s">
        <v>416</v>
      </c>
      <c r="D65" s="5" t="s">
        <v>373</v>
      </c>
      <c r="E65" s="3">
        <v>4</v>
      </c>
      <c r="F65" s="3">
        <v>1</v>
      </c>
      <c r="G65" s="7">
        <v>4</v>
      </c>
      <c r="H65" s="5">
        <v>3</v>
      </c>
      <c r="I65" s="3">
        <v>5</v>
      </c>
      <c r="J65" s="3">
        <v>1</v>
      </c>
      <c r="K65" s="3">
        <f t="shared" si="0"/>
        <v>2.95</v>
      </c>
      <c r="L65" s="3" t="str">
        <f t="shared" si="1"/>
        <v>Medium</v>
      </c>
      <c r="M65" s="3" t="str">
        <f t="shared" si="2"/>
        <v>Monitor weekly and confirm replenishment plan</v>
      </c>
    </row>
    <row r="66" spans="1:13" x14ac:dyDescent="0.2">
      <c r="A66" s="5" t="s">
        <v>150</v>
      </c>
      <c r="B66" s="5" t="s">
        <v>147</v>
      </c>
      <c r="C66" s="5" t="s">
        <v>417</v>
      </c>
      <c r="D66" s="5" t="s">
        <v>372</v>
      </c>
      <c r="E66" s="3">
        <v>4</v>
      </c>
      <c r="F66" s="3">
        <v>1</v>
      </c>
      <c r="G66" s="7">
        <v>4</v>
      </c>
      <c r="H66" s="5">
        <v>3</v>
      </c>
      <c r="I66" s="3">
        <v>1</v>
      </c>
      <c r="J66" s="3">
        <v>1</v>
      </c>
      <c r="K66" s="3">
        <f t="shared" si="0"/>
        <v>2.35</v>
      </c>
      <c r="L66" s="3" t="str">
        <f t="shared" si="1"/>
        <v>Low</v>
      </c>
      <c r="M66" s="3" t="str">
        <f t="shared" si="2"/>
        <v>No immediate action required</v>
      </c>
    </row>
    <row r="67" spans="1:13" x14ac:dyDescent="0.2">
      <c r="A67" s="5" t="s">
        <v>152</v>
      </c>
      <c r="B67" s="5" t="s">
        <v>147</v>
      </c>
      <c r="C67" s="5" t="s">
        <v>417</v>
      </c>
      <c r="D67" s="5" t="s">
        <v>372</v>
      </c>
      <c r="E67" s="3">
        <v>4</v>
      </c>
      <c r="F67" s="3">
        <v>5</v>
      </c>
      <c r="G67" s="7">
        <v>4</v>
      </c>
      <c r="H67" s="5">
        <v>2</v>
      </c>
      <c r="I67" s="3">
        <v>5</v>
      </c>
      <c r="J67" s="3">
        <v>5</v>
      </c>
      <c r="K67" s="3">
        <f t="shared" ref="K67:K101" si="3">ROUND((E67*0.15)+(F67*0.25)+(G67*0.2)+(H67*0.15)+(I67*0.15)+(J67*0.1),2)</f>
        <v>4.2</v>
      </c>
      <c r="L67" s="3" t="str">
        <f t="shared" ref="L67:L101" si="4">IF(K67&gt;=4.25,"Critical",IF(K67&gt;=3.5,"High",IF(K67&gt;=2.5,"Medium","Low")))</f>
        <v>High</v>
      </c>
      <c r="M67" s="3" t="str">
        <f t="shared" ref="M67:M101" si="5">IF(L67="Critical","Escalate immediately, expedite supply, and review backup source",IF(L67="High","Create recovery plan and monitor daily",IF(L67="Medium","Monitor weekly and confirm replenishment plan","No immediate action required")))</f>
        <v>Create recovery plan and monitor daily</v>
      </c>
    </row>
    <row r="68" spans="1:13" x14ac:dyDescent="0.2">
      <c r="A68" s="5" t="s">
        <v>153</v>
      </c>
      <c r="B68" s="5" t="s">
        <v>147</v>
      </c>
      <c r="C68" s="5" t="s">
        <v>418</v>
      </c>
      <c r="D68" s="5" t="s">
        <v>372</v>
      </c>
      <c r="E68" s="3">
        <v>3</v>
      </c>
      <c r="F68" s="3">
        <v>4</v>
      </c>
      <c r="G68" s="7">
        <v>3</v>
      </c>
      <c r="H68" s="5">
        <v>3</v>
      </c>
      <c r="I68" s="3">
        <v>5</v>
      </c>
      <c r="J68" s="3">
        <v>1</v>
      </c>
      <c r="K68" s="3">
        <f t="shared" si="3"/>
        <v>3.35</v>
      </c>
      <c r="L68" s="3" t="str">
        <f t="shared" si="4"/>
        <v>Medium</v>
      </c>
      <c r="M68" s="3" t="str">
        <f t="shared" si="5"/>
        <v>Monitor weekly and confirm replenishment plan</v>
      </c>
    </row>
    <row r="69" spans="1:13" x14ac:dyDescent="0.2">
      <c r="A69" s="5" t="s">
        <v>154</v>
      </c>
      <c r="B69" s="5" t="s">
        <v>147</v>
      </c>
      <c r="C69" s="5" t="s">
        <v>419</v>
      </c>
      <c r="D69" s="5" t="s">
        <v>373</v>
      </c>
      <c r="E69" s="3">
        <v>3</v>
      </c>
      <c r="F69" s="3">
        <v>1</v>
      </c>
      <c r="G69" s="7">
        <v>3</v>
      </c>
      <c r="H69" s="5">
        <v>3</v>
      </c>
      <c r="I69" s="3">
        <v>5</v>
      </c>
      <c r="J69" s="3">
        <v>1</v>
      </c>
      <c r="K69" s="3">
        <f t="shared" si="3"/>
        <v>2.6</v>
      </c>
      <c r="L69" s="3" t="str">
        <f t="shared" si="4"/>
        <v>Medium</v>
      </c>
      <c r="M69" s="3" t="str">
        <f t="shared" si="5"/>
        <v>Monitor weekly and confirm replenishment plan</v>
      </c>
    </row>
    <row r="70" spans="1:13" x14ac:dyDescent="0.2">
      <c r="A70" s="5" t="s">
        <v>155</v>
      </c>
      <c r="B70" s="5" t="s">
        <v>147</v>
      </c>
      <c r="C70" s="5" t="s">
        <v>417</v>
      </c>
      <c r="D70" s="5" t="s">
        <v>372</v>
      </c>
      <c r="E70" s="3">
        <v>3</v>
      </c>
      <c r="F70" s="3">
        <v>3</v>
      </c>
      <c r="G70" s="7">
        <v>3</v>
      </c>
      <c r="H70" s="5">
        <v>3</v>
      </c>
      <c r="I70" s="3">
        <v>5</v>
      </c>
      <c r="J70" s="3">
        <v>1</v>
      </c>
      <c r="K70" s="3">
        <f t="shared" si="3"/>
        <v>3.1</v>
      </c>
      <c r="L70" s="3" t="str">
        <f t="shared" si="4"/>
        <v>Medium</v>
      </c>
      <c r="M70" s="3" t="str">
        <f t="shared" si="5"/>
        <v>Monitor weekly and confirm replenishment plan</v>
      </c>
    </row>
    <row r="71" spans="1:13" x14ac:dyDescent="0.2">
      <c r="A71" s="5" t="s">
        <v>156</v>
      </c>
      <c r="B71" s="5" t="s">
        <v>147</v>
      </c>
      <c r="C71" s="5" t="s">
        <v>420</v>
      </c>
      <c r="D71" s="5" t="s">
        <v>372</v>
      </c>
      <c r="E71" s="3">
        <v>3</v>
      </c>
      <c r="F71" s="3">
        <v>5</v>
      </c>
      <c r="G71" s="7">
        <v>3</v>
      </c>
      <c r="H71" s="5">
        <v>4</v>
      </c>
      <c r="I71" s="3">
        <v>5</v>
      </c>
      <c r="J71" s="3">
        <v>5</v>
      </c>
      <c r="K71" s="3">
        <f t="shared" si="3"/>
        <v>4.1500000000000004</v>
      </c>
      <c r="L71" s="3" t="str">
        <f t="shared" si="4"/>
        <v>High</v>
      </c>
      <c r="M71" s="3" t="str">
        <f t="shared" si="5"/>
        <v>Create recovery plan and monitor daily</v>
      </c>
    </row>
    <row r="72" spans="1:13" x14ac:dyDescent="0.2">
      <c r="A72" s="5" t="s">
        <v>158</v>
      </c>
      <c r="B72" s="5" t="s">
        <v>147</v>
      </c>
      <c r="C72" s="5" t="s">
        <v>420</v>
      </c>
      <c r="D72" s="5" t="s">
        <v>372</v>
      </c>
      <c r="E72" s="3">
        <v>3</v>
      </c>
      <c r="F72" s="3">
        <v>1</v>
      </c>
      <c r="G72" s="7">
        <v>3</v>
      </c>
      <c r="H72" s="5">
        <v>3</v>
      </c>
      <c r="I72" s="3">
        <v>5</v>
      </c>
      <c r="J72" s="3">
        <v>1</v>
      </c>
      <c r="K72" s="3">
        <f t="shared" si="3"/>
        <v>2.6</v>
      </c>
      <c r="L72" s="3" t="str">
        <f t="shared" si="4"/>
        <v>Medium</v>
      </c>
      <c r="M72" s="3" t="str">
        <f t="shared" si="5"/>
        <v>Monitor weekly and confirm replenishment plan</v>
      </c>
    </row>
    <row r="73" spans="1:13" x14ac:dyDescent="0.2">
      <c r="A73" s="5" t="s">
        <v>159</v>
      </c>
      <c r="B73" s="5" t="s">
        <v>147</v>
      </c>
      <c r="C73" s="5" t="s">
        <v>421</v>
      </c>
      <c r="D73" s="5" t="s">
        <v>372</v>
      </c>
      <c r="E73" s="3">
        <v>3</v>
      </c>
      <c r="F73" s="3">
        <v>2</v>
      </c>
      <c r="G73" s="7">
        <v>3</v>
      </c>
      <c r="H73" s="5">
        <v>4</v>
      </c>
      <c r="I73" s="3">
        <v>5</v>
      </c>
      <c r="J73" s="3">
        <v>1</v>
      </c>
      <c r="K73" s="3">
        <f t="shared" si="3"/>
        <v>3</v>
      </c>
      <c r="L73" s="3" t="str">
        <f t="shared" si="4"/>
        <v>Medium</v>
      </c>
      <c r="M73" s="3" t="str">
        <f t="shared" si="5"/>
        <v>Monitor weekly and confirm replenishment plan</v>
      </c>
    </row>
    <row r="74" spans="1:13" x14ac:dyDescent="0.2">
      <c r="A74" s="5" t="s">
        <v>21</v>
      </c>
      <c r="B74" s="5" t="s">
        <v>14</v>
      </c>
      <c r="C74" s="5" t="s">
        <v>422</v>
      </c>
      <c r="D74" s="5" t="s">
        <v>372</v>
      </c>
      <c r="E74" s="3">
        <v>3</v>
      </c>
      <c r="F74" s="3">
        <v>4</v>
      </c>
      <c r="G74" s="7">
        <v>3</v>
      </c>
      <c r="H74" s="5">
        <v>4</v>
      </c>
      <c r="I74" s="3">
        <v>5</v>
      </c>
      <c r="J74" s="3">
        <v>1</v>
      </c>
      <c r="K74" s="3">
        <f t="shared" si="3"/>
        <v>3.5</v>
      </c>
      <c r="L74" s="3" t="str">
        <f t="shared" si="4"/>
        <v>High</v>
      </c>
      <c r="M74" s="3" t="str">
        <f t="shared" si="5"/>
        <v>Create recovery plan and monitor daily</v>
      </c>
    </row>
    <row r="75" spans="1:13" x14ac:dyDescent="0.2">
      <c r="A75" s="5" t="s">
        <v>23</v>
      </c>
      <c r="B75" s="5" t="s">
        <v>14</v>
      </c>
      <c r="C75" s="5" t="s">
        <v>423</v>
      </c>
      <c r="D75" s="5" t="s">
        <v>373</v>
      </c>
      <c r="E75" s="3">
        <v>3</v>
      </c>
      <c r="F75" s="3">
        <v>3</v>
      </c>
      <c r="G75" s="7">
        <v>3</v>
      </c>
      <c r="H75" s="5">
        <v>3</v>
      </c>
      <c r="I75" s="3">
        <v>5</v>
      </c>
      <c r="J75" s="3">
        <v>1</v>
      </c>
      <c r="K75" s="3">
        <f t="shared" si="3"/>
        <v>3.1</v>
      </c>
      <c r="L75" s="3" t="str">
        <f t="shared" si="4"/>
        <v>Medium</v>
      </c>
      <c r="M75" s="3" t="str">
        <f t="shared" si="5"/>
        <v>Monitor weekly and confirm replenishment plan</v>
      </c>
    </row>
    <row r="76" spans="1:13" x14ac:dyDescent="0.2">
      <c r="A76" s="5" t="s">
        <v>26</v>
      </c>
      <c r="B76" s="5" t="s">
        <v>14</v>
      </c>
      <c r="C76" s="5" t="s">
        <v>410</v>
      </c>
      <c r="D76" s="5" t="s">
        <v>373</v>
      </c>
      <c r="E76" s="3">
        <v>5</v>
      </c>
      <c r="F76" s="3">
        <v>3</v>
      </c>
      <c r="G76" s="7">
        <v>4</v>
      </c>
      <c r="H76" s="5">
        <v>5</v>
      </c>
      <c r="I76" s="3">
        <v>5</v>
      </c>
      <c r="J76" s="3">
        <v>1</v>
      </c>
      <c r="K76" s="3">
        <f t="shared" si="3"/>
        <v>3.9</v>
      </c>
      <c r="L76" s="3" t="str">
        <f t="shared" si="4"/>
        <v>High</v>
      </c>
      <c r="M76" s="3" t="str">
        <f t="shared" si="5"/>
        <v>Create recovery plan and monitor daily</v>
      </c>
    </row>
    <row r="77" spans="1:13" x14ac:dyDescent="0.2">
      <c r="A77" s="5" t="s">
        <v>27</v>
      </c>
      <c r="B77" s="5" t="s">
        <v>14</v>
      </c>
      <c r="C77" s="5" t="s">
        <v>410</v>
      </c>
      <c r="D77" s="5" t="s">
        <v>373</v>
      </c>
      <c r="E77" s="3">
        <v>3</v>
      </c>
      <c r="F77" s="3">
        <v>1</v>
      </c>
      <c r="G77" s="7">
        <v>3</v>
      </c>
      <c r="H77" s="5">
        <v>3</v>
      </c>
      <c r="I77" s="3">
        <v>5</v>
      </c>
      <c r="J77" s="3">
        <v>1</v>
      </c>
      <c r="K77" s="3">
        <f t="shared" si="3"/>
        <v>2.6</v>
      </c>
      <c r="L77" s="3" t="str">
        <f t="shared" si="4"/>
        <v>Medium</v>
      </c>
      <c r="M77" s="3" t="str">
        <f t="shared" si="5"/>
        <v>Monitor weekly and confirm replenishment plan</v>
      </c>
    </row>
    <row r="78" spans="1:13" x14ac:dyDescent="0.2">
      <c r="A78" s="5" t="s">
        <v>28</v>
      </c>
      <c r="B78" s="5" t="s">
        <v>14</v>
      </c>
      <c r="C78" s="5" t="s">
        <v>424</v>
      </c>
      <c r="D78" s="5" t="s">
        <v>373</v>
      </c>
      <c r="E78" s="3">
        <v>3</v>
      </c>
      <c r="F78" s="3">
        <v>2</v>
      </c>
      <c r="G78" s="7">
        <v>3</v>
      </c>
      <c r="H78" s="5">
        <v>3</v>
      </c>
      <c r="I78" s="3">
        <v>5</v>
      </c>
      <c r="J78" s="3">
        <v>1</v>
      </c>
      <c r="K78" s="3">
        <f t="shared" si="3"/>
        <v>2.85</v>
      </c>
      <c r="L78" s="3" t="str">
        <f t="shared" si="4"/>
        <v>Medium</v>
      </c>
      <c r="M78" s="3" t="str">
        <f t="shared" si="5"/>
        <v>Monitor weekly and confirm replenishment plan</v>
      </c>
    </row>
    <row r="79" spans="1:13" x14ac:dyDescent="0.2">
      <c r="A79" s="5" t="s">
        <v>30</v>
      </c>
      <c r="B79" s="5" t="s">
        <v>14</v>
      </c>
      <c r="C79" s="5" t="s">
        <v>425</v>
      </c>
      <c r="D79" s="5" t="s">
        <v>373</v>
      </c>
      <c r="E79" s="3">
        <v>3</v>
      </c>
      <c r="F79" s="3">
        <v>1</v>
      </c>
      <c r="G79" s="7">
        <v>3</v>
      </c>
      <c r="H79" s="5">
        <v>3</v>
      </c>
      <c r="I79" s="3">
        <v>5</v>
      </c>
      <c r="J79" s="3">
        <v>1</v>
      </c>
      <c r="K79" s="3">
        <f t="shared" si="3"/>
        <v>2.6</v>
      </c>
      <c r="L79" s="3" t="str">
        <f t="shared" si="4"/>
        <v>Medium</v>
      </c>
      <c r="M79" s="3" t="str">
        <f t="shared" si="5"/>
        <v>Monitor weekly and confirm replenishment plan</v>
      </c>
    </row>
    <row r="80" spans="1:13" x14ac:dyDescent="0.2">
      <c r="A80" s="5" t="s">
        <v>32</v>
      </c>
      <c r="B80" s="5" t="s">
        <v>14</v>
      </c>
      <c r="C80" s="5" t="s">
        <v>424</v>
      </c>
      <c r="D80" s="5" t="s">
        <v>373</v>
      </c>
      <c r="E80" s="3">
        <v>4</v>
      </c>
      <c r="F80" s="3">
        <v>2</v>
      </c>
      <c r="G80" s="7">
        <v>3</v>
      </c>
      <c r="H80" s="5">
        <v>4</v>
      </c>
      <c r="I80" s="3">
        <v>5</v>
      </c>
      <c r="J80" s="3">
        <v>1</v>
      </c>
      <c r="K80" s="3">
        <f t="shared" si="3"/>
        <v>3.15</v>
      </c>
      <c r="L80" s="3" t="str">
        <f t="shared" si="4"/>
        <v>Medium</v>
      </c>
      <c r="M80" s="3" t="str">
        <f t="shared" si="5"/>
        <v>Monitor weekly and confirm replenishment plan</v>
      </c>
    </row>
    <row r="81" spans="1:13" x14ac:dyDescent="0.2">
      <c r="A81" s="5" t="s">
        <v>33</v>
      </c>
      <c r="B81" s="5" t="s">
        <v>14</v>
      </c>
      <c r="C81" s="5" t="s">
        <v>424</v>
      </c>
      <c r="D81" s="5" t="s">
        <v>372</v>
      </c>
      <c r="E81" s="3">
        <v>4</v>
      </c>
      <c r="F81" s="3">
        <v>3</v>
      </c>
      <c r="G81" s="7">
        <v>3</v>
      </c>
      <c r="H81" s="5">
        <v>4</v>
      </c>
      <c r="I81" s="3">
        <v>5</v>
      </c>
      <c r="J81" s="3">
        <v>1</v>
      </c>
      <c r="K81" s="3">
        <f t="shared" si="3"/>
        <v>3.4</v>
      </c>
      <c r="L81" s="3" t="str">
        <f t="shared" si="4"/>
        <v>Medium</v>
      </c>
      <c r="M81" s="3" t="str">
        <f t="shared" si="5"/>
        <v>Monitor weekly and confirm replenishment plan</v>
      </c>
    </row>
    <row r="82" spans="1:13" x14ac:dyDescent="0.2">
      <c r="A82" s="5" t="s">
        <v>34</v>
      </c>
      <c r="B82" s="5" t="s">
        <v>14</v>
      </c>
      <c r="C82" s="5" t="s">
        <v>426</v>
      </c>
      <c r="D82" s="5" t="s">
        <v>372</v>
      </c>
      <c r="E82" s="3">
        <v>4</v>
      </c>
      <c r="F82" s="3">
        <v>5</v>
      </c>
      <c r="G82" s="7">
        <v>4</v>
      </c>
      <c r="H82" s="5">
        <v>4</v>
      </c>
      <c r="I82" s="3">
        <v>5</v>
      </c>
      <c r="J82" s="3">
        <v>5</v>
      </c>
      <c r="K82" s="3">
        <f t="shared" si="3"/>
        <v>4.5</v>
      </c>
      <c r="L82" s="3" t="str">
        <f t="shared" si="4"/>
        <v>Critical</v>
      </c>
      <c r="M82" s="3" t="str">
        <f t="shared" si="5"/>
        <v>Escalate immediately, expedite supply, and review backup source</v>
      </c>
    </row>
    <row r="83" spans="1:13" x14ac:dyDescent="0.2">
      <c r="A83" s="5" t="s">
        <v>36</v>
      </c>
      <c r="B83" s="5" t="s">
        <v>14</v>
      </c>
      <c r="C83" s="5" t="s">
        <v>427</v>
      </c>
      <c r="D83" s="5" t="s">
        <v>372</v>
      </c>
      <c r="E83" s="3">
        <v>4</v>
      </c>
      <c r="F83" s="3">
        <v>5</v>
      </c>
      <c r="G83" s="7">
        <v>4</v>
      </c>
      <c r="H83" s="5">
        <v>4</v>
      </c>
      <c r="I83" s="3">
        <v>5</v>
      </c>
      <c r="J83" s="3">
        <v>5</v>
      </c>
      <c r="K83" s="3">
        <f t="shared" si="3"/>
        <v>4.5</v>
      </c>
      <c r="L83" s="3" t="str">
        <f t="shared" si="4"/>
        <v>Critical</v>
      </c>
      <c r="M83" s="3" t="str">
        <f t="shared" si="5"/>
        <v>Escalate immediately, expedite supply, and review backup source</v>
      </c>
    </row>
    <row r="84" spans="1:13" x14ac:dyDescent="0.2">
      <c r="A84" s="5" t="s">
        <v>39</v>
      </c>
      <c r="B84" s="5" t="s">
        <v>14</v>
      </c>
      <c r="C84" s="5" t="s">
        <v>411</v>
      </c>
      <c r="D84" s="5" t="s">
        <v>372</v>
      </c>
      <c r="E84" s="3">
        <v>3</v>
      </c>
      <c r="F84" s="3">
        <v>1</v>
      </c>
      <c r="G84" s="7">
        <v>3</v>
      </c>
      <c r="H84" s="5">
        <v>4</v>
      </c>
      <c r="I84" s="3">
        <v>5</v>
      </c>
      <c r="J84" s="3">
        <v>1</v>
      </c>
      <c r="K84" s="3">
        <f t="shared" si="3"/>
        <v>2.75</v>
      </c>
      <c r="L84" s="3" t="str">
        <f t="shared" si="4"/>
        <v>Medium</v>
      </c>
      <c r="M84" s="3" t="str">
        <f t="shared" si="5"/>
        <v>Monitor weekly and confirm replenishment plan</v>
      </c>
    </row>
    <row r="85" spans="1:13" x14ac:dyDescent="0.2">
      <c r="A85" s="5" t="s">
        <v>67</v>
      </c>
      <c r="B85" s="5" t="s">
        <v>64</v>
      </c>
      <c r="C85" s="5" t="s">
        <v>419</v>
      </c>
      <c r="D85" s="5" t="s">
        <v>373</v>
      </c>
      <c r="E85" s="3">
        <v>4</v>
      </c>
      <c r="F85" s="3">
        <v>5</v>
      </c>
      <c r="G85" s="7">
        <v>4</v>
      </c>
      <c r="H85" s="5">
        <v>4</v>
      </c>
      <c r="I85" s="3">
        <v>5</v>
      </c>
      <c r="J85" s="3">
        <v>5</v>
      </c>
      <c r="K85" s="3">
        <f t="shared" si="3"/>
        <v>4.5</v>
      </c>
      <c r="L85" s="3" t="str">
        <f t="shared" si="4"/>
        <v>Critical</v>
      </c>
      <c r="M85" s="3" t="str">
        <f t="shared" si="5"/>
        <v>Escalate immediately, expedite supply, and review backup source</v>
      </c>
    </row>
    <row r="86" spans="1:13" x14ac:dyDescent="0.2">
      <c r="A86" s="5" t="s">
        <v>69</v>
      </c>
      <c r="B86" s="5" t="s">
        <v>64</v>
      </c>
      <c r="C86" s="5" t="s">
        <v>419</v>
      </c>
      <c r="D86" s="5" t="s">
        <v>373</v>
      </c>
      <c r="E86" s="3">
        <v>2</v>
      </c>
      <c r="F86" s="3">
        <v>3</v>
      </c>
      <c r="G86" s="7">
        <v>2</v>
      </c>
      <c r="H86" s="5">
        <v>2</v>
      </c>
      <c r="I86" s="3">
        <v>5</v>
      </c>
      <c r="J86" s="3">
        <v>1</v>
      </c>
      <c r="K86" s="3">
        <f t="shared" si="3"/>
        <v>2.6</v>
      </c>
      <c r="L86" s="3" t="str">
        <f t="shared" si="4"/>
        <v>Medium</v>
      </c>
      <c r="M86" s="3" t="str">
        <f t="shared" si="5"/>
        <v>Monitor weekly and confirm replenishment plan</v>
      </c>
    </row>
    <row r="87" spans="1:13" x14ac:dyDescent="0.2">
      <c r="A87" s="5" t="s">
        <v>70</v>
      </c>
      <c r="B87" s="5" t="s">
        <v>64</v>
      </c>
      <c r="C87" s="5" t="s">
        <v>425</v>
      </c>
      <c r="D87" s="5" t="s">
        <v>373</v>
      </c>
      <c r="E87" s="3">
        <v>3</v>
      </c>
      <c r="F87" s="3">
        <v>3</v>
      </c>
      <c r="G87" s="7">
        <v>3</v>
      </c>
      <c r="H87" s="5">
        <v>4</v>
      </c>
      <c r="I87" s="3">
        <v>5</v>
      </c>
      <c r="J87" s="3">
        <v>1</v>
      </c>
      <c r="K87" s="3">
        <f t="shared" si="3"/>
        <v>3.25</v>
      </c>
      <c r="L87" s="3" t="str">
        <f t="shared" si="4"/>
        <v>Medium</v>
      </c>
      <c r="M87" s="3" t="str">
        <f t="shared" si="5"/>
        <v>Monitor weekly and confirm replenishment plan</v>
      </c>
    </row>
    <row r="88" spans="1:13" x14ac:dyDescent="0.2">
      <c r="A88" s="5" t="s">
        <v>71</v>
      </c>
      <c r="B88" s="5" t="s">
        <v>64</v>
      </c>
      <c r="C88" s="5" t="s">
        <v>428</v>
      </c>
      <c r="D88" s="5" t="s">
        <v>372</v>
      </c>
      <c r="E88" s="3">
        <v>3</v>
      </c>
      <c r="F88" s="3">
        <v>2</v>
      </c>
      <c r="G88" s="7">
        <v>3</v>
      </c>
      <c r="H88" s="5">
        <v>4</v>
      </c>
      <c r="I88" s="3">
        <v>5</v>
      </c>
      <c r="J88" s="3">
        <v>1</v>
      </c>
      <c r="K88" s="3">
        <f t="shared" si="3"/>
        <v>3</v>
      </c>
      <c r="L88" s="3" t="str">
        <f t="shared" si="4"/>
        <v>Medium</v>
      </c>
      <c r="M88" s="3" t="str">
        <f t="shared" si="5"/>
        <v>Monitor weekly and confirm replenishment plan</v>
      </c>
    </row>
    <row r="89" spans="1:13" x14ac:dyDescent="0.2">
      <c r="A89" s="5" t="s">
        <v>72</v>
      </c>
      <c r="B89" s="5" t="s">
        <v>64</v>
      </c>
      <c r="C89" s="5" t="s">
        <v>429</v>
      </c>
      <c r="D89" s="5" t="s">
        <v>372</v>
      </c>
      <c r="E89" s="3">
        <v>4</v>
      </c>
      <c r="F89" s="3">
        <v>5</v>
      </c>
      <c r="G89" s="7">
        <v>3</v>
      </c>
      <c r="H89" s="5">
        <v>4</v>
      </c>
      <c r="I89" s="3">
        <v>5</v>
      </c>
      <c r="J89" s="3">
        <v>3</v>
      </c>
      <c r="K89" s="3">
        <f t="shared" si="3"/>
        <v>4.0999999999999996</v>
      </c>
      <c r="L89" s="3" t="str">
        <f t="shared" si="4"/>
        <v>High</v>
      </c>
      <c r="M89" s="3" t="str">
        <f t="shared" si="5"/>
        <v>Create recovery plan and monitor daily</v>
      </c>
    </row>
    <row r="90" spans="1:13" x14ac:dyDescent="0.2">
      <c r="A90" s="5" t="s">
        <v>73</v>
      </c>
      <c r="B90" s="5" t="s">
        <v>64</v>
      </c>
      <c r="C90" s="5" t="s">
        <v>430</v>
      </c>
      <c r="D90" s="5" t="s">
        <v>372</v>
      </c>
      <c r="E90" s="3">
        <v>4</v>
      </c>
      <c r="F90" s="3">
        <v>1</v>
      </c>
      <c r="G90" s="7">
        <v>4</v>
      </c>
      <c r="H90" s="5">
        <v>5</v>
      </c>
      <c r="I90" s="3">
        <v>5</v>
      </c>
      <c r="J90" s="3">
        <v>1</v>
      </c>
      <c r="K90" s="3">
        <f t="shared" si="3"/>
        <v>3.25</v>
      </c>
      <c r="L90" s="3" t="str">
        <f t="shared" si="4"/>
        <v>Medium</v>
      </c>
      <c r="M90" s="3" t="str">
        <f t="shared" si="5"/>
        <v>Monitor weekly and confirm replenishment plan</v>
      </c>
    </row>
    <row r="91" spans="1:13" x14ac:dyDescent="0.2">
      <c r="A91" s="5" t="s">
        <v>74</v>
      </c>
      <c r="B91" s="5" t="s">
        <v>64</v>
      </c>
      <c r="C91" s="5" t="s">
        <v>402</v>
      </c>
      <c r="D91" s="5" t="s">
        <v>372</v>
      </c>
      <c r="E91" s="3">
        <v>3</v>
      </c>
      <c r="F91" s="3">
        <v>1</v>
      </c>
      <c r="G91" s="7">
        <v>3</v>
      </c>
      <c r="H91" s="5">
        <v>3</v>
      </c>
      <c r="I91" s="3">
        <v>5</v>
      </c>
      <c r="J91" s="3">
        <v>1</v>
      </c>
      <c r="K91" s="3">
        <f t="shared" si="3"/>
        <v>2.6</v>
      </c>
      <c r="L91" s="3" t="str">
        <f t="shared" si="4"/>
        <v>Medium</v>
      </c>
      <c r="M91" s="3" t="str">
        <f t="shared" si="5"/>
        <v>Monitor weekly and confirm replenishment plan</v>
      </c>
    </row>
    <row r="92" spans="1:13" x14ac:dyDescent="0.2">
      <c r="A92" s="5" t="s">
        <v>75</v>
      </c>
      <c r="B92" s="5" t="s">
        <v>64</v>
      </c>
      <c r="C92" s="5" t="s">
        <v>390</v>
      </c>
      <c r="D92" s="5" t="s">
        <v>372</v>
      </c>
      <c r="E92" s="3">
        <v>4</v>
      </c>
      <c r="F92" s="3">
        <v>5</v>
      </c>
      <c r="G92" s="7">
        <v>3</v>
      </c>
      <c r="H92" s="5">
        <v>4</v>
      </c>
      <c r="I92" s="3">
        <v>5</v>
      </c>
      <c r="J92" s="3">
        <v>4</v>
      </c>
      <c r="K92" s="3">
        <f t="shared" si="3"/>
        <v>4.2</v>
      </c>
      <c r="L92" s="3" t="str">
        <f t="shared" si="4"/>
        <v>High</v>
      </c>
      <c r="M92" s="3" t="str">
        <f t="shared" si="5"/>
        <v>Create recovery plan and monitor daily</v>
      </c>
    </row>
    <row r="93" spans="1:13" x14ac:dyDescent="0.2">
      <c r="A93" s="5" t="s">
        <v>78</v>
      </c>
      <c r="B93" s="5" t="s">
        <v>64</v>
      </c>
      <c r="C93" s="5" t="s">
        <v>431</v>
      </c>
      <c r="D93" s="5" t="s">
        <v>372</v>
      </c>
      <c r="E93" s="3">
        <v>3</v>
      </c>
      <c r="F93" s="3">
        <v>1</v>
      </c>
      <c r="G93" s="7">
        <v>3</v>
      </c>
      <c r="H93" s="5">
        <v>3</v>
      </c>
      <c r="I93" s="3">
        <v>5</v>
      </c>
      <c r="J93" s="3">
        <v>1</v>
      </c>
      <c r="K93" s="3">
        <f t="shared" si="3"/>
        <v>2.6</v>
      </c>
      <c r="L93" s="3" t="str">
        <f t="shared" si="4"/>
        <v>Medium</v>
      </c>
      <c r="M93" s="3" t="str">
        <f t="shared" si="5"/>
        <v>Monitor weekly and confirm replenishment plan</v>
      </c>
    </row>
    <row r="94" spans="1:13" x14ac:dyDescent="0.2">
      <c r="A94" s="5" t="s">
        <v>79</v>
      </c>
      <c r="B94" s="5" t="s">
        <v>64</v>
      </c>
      <c r="C94" s="5" t="s">
        <v>432</v>
      </c>
      <c r="D94" s="5" t="s">
        <v>372</v>
      </c>
      <c r="E94" s="3">
        <v>5</v>
      </c>
      <c r="F94" s="3">
        <v>5</v>
      </c>
      <c r="G94" s="7">
        <v>4</v>
      </c>
      <c r="H94" s="5">
        <v>5</v>
      </c>
      <c r="I94" s="3">
        <v>5</v>
      </c>
      <c r="J94" s="3">
        <v>4</v>
      </c>
      <c r="K94" s="3">
        <f t="shared" si="3"/>
        <v>4.7</v>
      </c>
      <c r="L94" s="3" t="str">
        <f t="shared" si="4"/>
        <v>Critical</v>
      </c>
      <c r="M94" s="3" t="str">
        <f t="shared" si="5"/>
        <v>Escalate immediately, expedite supply, and review backup source</v>
      </c>
    </row>
    <row r="95" spans="1:13" x14ac:dyDescent="0.2">
      <c r="A95" s="5" t="s">
        <v>80</v>
      </c>
      <c r="B95" s="5" t="s">
        <v>64</v>
      </c>
      <c r="C95" s="5" t="s">
        <v>433</v>
      </c>
      <c r="D95" s="5" t="s">
        <v>372</v>
      </c>
      <c r="E95" s="3">
        <v>5</v>
      </c>
      <c r="F95" s="3">
        <v>1</v>
      </c>
      <c r="G95" s="7">
        <v>4</v>
      </c>
      <c r="H95" s="5">
        <v>5</v>
      </c>
      <c r="I95" s="3">
        <v>5</v>
      </c>
      <c r="J95" s="3">
        <v>1</v>
      </c>
      <c r="K95" s="3">
        <f t="shared" si="3"/>
        <v>3.4</v>
      </c>
      <c r="L95" s="3" t="str">
        <f t="shared" si="4"/>
        <v>Medium</v>
      </c>
      <c r="M95" s="3" t="str">
        <f t="shared" si="5"/>
        <v>Monitor weekly and confirm replenishment plan</v>
      </c>
    </row>
    <row r="96" spans="1:13" x14ac:dyDescent="0.2">
      <c r="A96" s="5" t="s">
        <v>81</v>
      </c>
      <c r="B96" s="5" t="s">
        <v>64</v>
      </c>
      <c r="C96" s="5" t="s">
        <v>396</v>
      </c>
      <c r="D96" s="5" t="s">
        <v>372</v>
      </c>
      <c r="E96" s="3">
        <v>4</v>
      </c>
      <c r="F96" s="3">
        <v>1</v>
      </c>
      <c r="G96" s="7">
        <v>3</v>
      </c>
      <c r="H96" s="5">
        <v>3</v>
      </c>
      <c r="I96" s="3">
        <v>5</v>
      </c>
      <c r="J96" s="3">
        <v>1</v>
      </c>
      <c r="K96" s="3">
        <f t="shared" si="3"/>
        <v>2.75</v>
      </c>
      <c r="L96" s="3" t="str">
        <f t="shared" si="4"/>
        <v>Medium</v>
      </c>
      <c r="M96" s="3" t="str">
        <f t="shared" si="5"/>
        <v>Monitor weekly and confirm replenishment plan</v>
      </c>
    </row>
    <row r="97" spans="1:13" x14ac:dyDescent="0.2">
      <c r="A97" s="5" t="s">
        <v>82</v>
      </c>
      <c r="B97" s="5" t="s">
        <v>64</v>
      </c>
      <c r="C97" s="5" t="s">
        <v>429</v>
      </c>
      <c r="D97" s="5" t="s">
        <v>372</v>
      </c>
      <c r="E97" s="3">
        <v>4</v>
      </c>
      <c r="F97" s="3">
        <v>1</v>
      </c>
      <c r="G97" s="7">
        <v>3</v>
      </c>
      <c r="H97" s="5">
        <v>3</v>
      </c>
      <c r="I97" s="3">
        <v>5</v>
      </c>
      <c r="J97" s="3">
        <v>1</v>
      </c>
      <c r="K97" s="3">
        <f t="shared" si="3"/>
        <v>2.75</v>
      </c>
      <c r="L97" s="3" t="str">
        <f t="shared" si="4"/>
        <v>Medium</v>
      </c>
      <c r="M97" s="3" t="str">
        <f t="shared" si="5"/>
        <v>Monitor weekly and confirm replenishment plan</v>
      </c>
    </row>
    <row r="98" spans="1:13" x14ac:dyDescent="0.2">
      <c r="A98" s="5" t="s">
        <v>86</v>
      </c>
      <c r="B98" s="5" t="s">
        <v>64</v>
      </c>
      <c r="C98" s="5" t="s">
        <v>402</v>
      </c>
      <c r="D98" s="5" t="s">
        <v>372</v>
      </c>
      <c r="E98" s="3">
        <v>3</v>
      </c>
      <c r="F98" s="3">
        <v>1</v>
      </c>
      <c r="G98" s="7">
        <v>3</v>
      </c>
      <c r="H98" s="5">
        <v>3</v>
      </c>
      <c r="I98" s="3">
        <v>5</v>
      </c>
      <c r="J98" s="3">
        <v>1</v>
      </c>
      <c r="K98" s="3">
        <f t="shared" si="3"/>
        <v>2.6</v>
      </c>
      <c r="L98" s="3" t="str">
        <f t="shared" si="4"/>
        <v>Medium</v>
      </c>
      <c r="M98" s="3" t="str">
        <f t="shared" si="5"/>
        <v>Monitor weekly and confirm replenishment plan</v>
      </c>
    </row>
    <row r="99" spans="1:13" x14ac:dyDescent="0.2">
      <c r="A99" s="5" t="s">
        <v>87</v>
      </c>
      <c r="B99" s="5" t="s">
        <v>64</v>
      </c>
      <c r="C99" s="5" t="s">
        <v>402</v>
      </c>
      <c r="D99" s="5" t="s">
        <v>372</v>
      </c>
      <c r="E99" s="3">
        <v>3</v>
      </c>
      <c r="F99" s="3">
        <v>1</v>
      </c>
      <c r="G99" s="7">
        <v>3</v>
      </c>
      <c r="H99" s="5">
        <v>3</v>
      </c>
      <c r="I99" s="3">
        <v>5</v>
      </c>
      <c r="J99" s="3">
        <v>1</v>
      </c>
      <c r="K99" s="3">
        <f t="shared" si="3"/>
        <v>2.6</v>
      </c>
      <c r="L99" s="3" t="str">
        <f t="shared" si="4"/>
        <v>Medium</v>
      </c>
      <c r="M99" s="3" t="str">
        <f t="shared" si="5"/>
        <v>Monitor weekly and confirm replenishment plan</v>
      </c>
    </row>
    <row r="100" spans="1:13" x14ac:dyDescent="0.2">
      <c r="A100" s="5" t="s">
        <v>88</v>
      </c>
      <c r="B100" s="5" t="s">
        <v>64</v>
      </c>
      <c r="C100" s="5" t="s">
        <v>430</v>
      </c>
      <c r="D100" s="5" t="s">
        <v>372</v>
      </c>
      <c r="E100" s="3">
        <v>3</v>
      </c>
      <c r="F100" s="3">
        <v>1</v>
      </c>
      <c r="G100" s="7">
        <v>3</v>
      </c>
      <c r="H100" s="5">
        <v>4</v>
      </c>
      <c r="I100" s="3">
        <v>5</v>
      </c>
      <c r="J100" s="3">
        <v>1</v>
      </c>
      <c r="K100" s="3">
        <f t="shared" si="3"/>
        <v>2.75</v>
      </c>
      <c r="L100" s="3" t="str">
        <f t="shared" si="4"/>
        <v>Medium</v>
      </c>
      <c r="M100" s="3" t="str">
        <f t="shared" si="5"/>
        <v>Monitor weekly and confirm replenishment plan</v>
      </c>
    </row>
    <row r="101" spans="1:13" x14ac:dyDescent="0.2">
      <c r="A101" s="5" t="s">
        <v>89</v>
      </c>
      <c r="B101" s="5" t="s">
        <v>64</v>
      </c>
      <c r="C101" s="5" t="s">
        <v>434</v>
      </c>
      <c r="D101" s="5" t="s">
        <v>372</v>
      </c>
      <c r="E101" s="3">
        <v>3</v>
      </c>
      <c r="F101" s="3">
        <v>1</v>
      </c>
      <c r="G101" s="7">
        <v>3</v>
      </c>
      <c r="H101" s="5">
        <v>4</v>
      </c>
      <c r="I101" s="3">
        <v>5</v>
      </c>
      <c r="J101" s="3">
        <v>1</v>
      </c>
      <c r="K101" s="3">
        <f t="shared" si="3"/>
        <v>2.75</v>
      </c>
      <c r="L101" s="3" t="str">
        <f t="shared" si="4"/>
        <v>Medium</v>
      </c>
      <c r="M101" s="3" t="str">
        <f t="shared" si="5"/>
        <v>Monitor weekly and confirm replenishment plan</v>
      </c>
    </row>
    <row r="102" spans="1:13" x14ac:dyDescent="0.2">
      <c r="A102" s="3" t="s">
        <v>19</v>
      </c>
      <c r="B102" s="3" t="s">
        <v>14</v>
      </c>
      <c r="C102" s="3" t="s">
        <v>390</v>
      </c>
      <c r="D102" s="3" t="s">
        <v>372</v>
      </c>
      <c r="E102" s="3">
        <v>5</v>
      </c>
      <c r="F102" s="3">
        <v>3</v>
      </c>
      <c r="G102" s="4">
        <v>4</v>
      </c>
      <c r="H102" s="3">
        <v>5</v>
      </c>
      <c r="I102" s="3">
        <v>5</v>
      </c>
      <c r="J102" s="3">
        <v>1</v>
      </c>
      <c r="K102" s="3">
        <v>3.9</v>
      </c>
      <c r="L102" s="3" t="s">
        <v>372</v>
      </c>
      <c r="M102" s="3" t="s">
        <v>649</v>
      </c>
    </row>
    <row r="103" spans="1:13" x14ac:dyDescent="0.2">
      <c r="A103" s="3" t="s">
        <v>66</v>
      </c>
      <c r="B103" s="3" t="s">
        <v>64</v>
      </c>
      <c r="C103" s="3" t="s">
        <v>401</v>
      </c>
      <c r="D103" s="3" t="s">
        <v>372</v>
      </c>
      <c r="E103" s="3">
        <v>5</v>
      </c>
      <c r="F103" s="3">
        <v>5</v>
      </c>
      <c r="G103" s="4">
        <v>4</v>
      </c>
      <c r="H103" s="3">
        <v>5</v>
      </c>
      <c r="I103" s="3">
        <v>5</v>
      </c>
      <c r="J103" s="3">
        <v>4</v>
      </c>
      <c r="K103" s="3">
        <v>4.7</v>
      </c>
      <c r="L103" s="3" t="s">
        <v>371</v>
      </c>
      <c r="M103" s="3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Simplified BOM</vt:lpstr>
      <vt:lpstr>Supplier Master</vt:lpstr>
      <vt:lpstr>Inventory Master</vt:lpstr>
      <vt:lpstr>Kitting Readiness Tracker</vt:lpstr>
      <vt:lpstr>Shortage Tracker</vt:lpstr>
      <vt:lpstr>Risk Scoring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 Parikh</dc:creator>
  <cp:lastModifiedBy>Shiven Parikh</cp:lastModifiedBy>
  <dcterms:created xsi:type="dcterms:W3CDTF">2026-06-09T09:11:59Z</dcterms:created>
  <dcterms:modified xsi:type="dcterms:W3CDTF">2026-06-10T12:00:16Z</dcterms:modified>
</cp:coreProperties>
</file>